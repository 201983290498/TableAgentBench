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106" sheetId="2" r:id="rId1"/>
    <sheet name="统考成绩" sheetId="5" r:id="rId2"/>
    <sheet name="总分排位" sheetId="6" r:id="rId3"/>
    <sheet name="单科排位" sheetId="7" r:id="rId4"/>
    <sheet name="各小组排名分析" sheetId="8" r:id="rId5"/>
  </sheets>
  <definedNames>
    <definedName name="_xlnm.Print_Area" localSheetId="0">'106'!$2:$2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<sst xmlns="http://schemas.openxmlformats.org/spreadsheetml/2006/main" count="899" uniqueCount="126">
  <si>
    <r>
      <rPr>
        <b/>
        <sz val="22"/>
        <rFont val="三极小篆体"/>
        <charset val="134"/>
      </rPr>
      <t>春秋六班</t>
    </r>
    <r>
      <rPr>
        <b/>
        <sz val="22"/>
        <rFont val="思源黑体 Regular"/>
        <charset val="134"/>
      </rPr>
      <t>学生考试成绩分析图表</t>
    </r>
  </si>
  <si>
    <t>姓名</t>
  </si>
  <si>
    <t>语文
原始</t>
  </si>
  <si>
    <t>语文
排名</t>
  </si>
  <si>
    <t>数学
原始</t>
  </si>
  <si>
    <t>数学
排名</t>
  </si>
  <si>
    <t>外语
原始</t>
  </si>
  <si>
    <t>外语
排名</t>
  </si>
  <si>
    <t>历史
原始</t>
  </si>
  <si>
    <t>历史
排名</t>
  </si>
  <si>
    <t>政治
赋分</t>
  </si>
  <si>
    <t>政治
排名</t>
  </si>
  <si>
    <t>地理
赋分</t>
  </si>
  <si>
    <t>地理
排名</t>
  </si>
  <si>
    <t>赋分
总分</t>
  </si>
  <si>
    <t>六总
级排</t>
  </si>
  <si>
    <t>语数英</t>
  </si>
  <si>
    <t>三总
级排</t>
  </si>
  <si>
    <t>语数英+历史</t>
  </si>
  <si>
    <t>四总
级排</t>
  </si>
  <si>
    <t>原始排名</t>
  </si>
  <si>
    <t>进浮</t>
  </si>
  <si>
    <t>谢凤仪</t>
  </si>
  <si>
    <t>缺考</t>
  </si>
  <si>
    <t/>
  </si>
  <si>
    <t>钟文海</t>
  </si>
  <si>
    <t>刘益铭</t>
  </si>
  <si>
    <t>邵凯恒</t>
  </si>
  <si>
    <t>郭晓欣</t>
  </si>
  <si>
    <t>关颖菲</t>
  </si>
  <si>
    <t>谭伟乔</t>
  </si>
  <si>
    <t>邓依梵</t>
  </si>
  <si>
    <t>简芷晴</t>
  </si>
  <si>
    <t>麦晓勤</t>
  </si>
  <si>
    <t>莫思桐</t>
  </si>
  <si>
    <t>吴怡璇</t>
  </si>
  <si>
    <t>张媛琪</t>
  </si>
  <si>
    <t>卿佩</t>
  </si>
  <si>
    <t>白栩玚</t>
  </si>
  <si>
    <t>谢俊昌</t>
  </si>
  <si>
    <t>李彤彤</t>
  </si>
  <si>
    <t>崔颖聪</t>
  </si>
  <si>
    <t>陈庆旭</t>
  </si>
  <si>
    <t>曾奕熙</t>
  </si>
  <si>
    <t>林烨叶</t>
  </si>
  <si>
    <t>余翠仪</t>
  </si>
  <si>
    <t>黄伊露</t>
  </si>
  <si>
    <t>郭恩榆</t>
  </si>
  <si>
    <t>邹贝思</t>
  </si>
  <si>
    <t>谈博轩</t>
  </si>
  <si>
    <t>曾婷婷</t>
  </si>
  <si>
    <t>区健仪</t>
  </si>
  <si>
    <t>刘友连</t>
  </si>
  <si>
    <t>陈依玲</t>
  </si>
  <si>
    <t>曾紫妍</t>
  </si>
  <si>
    <t>肖明慧</t>
  </si>
  <si>
    <t>吕柯鋆</t>
  </si>
  <si>
    <t>张宇</t>
  </si>
  <si>
    <t>何家恩</t>
  </si>
  <si>
    <t>韩少翔</t>
  </si>
  <si>
    <t>徐志慧</t>
  </si>
  <si>
    <t>王雨</t>
  </si>
  <si>
    <t>曾宪姿</t>
  </si>
  <si>
    <t>武子健</t>
  </si>
  <si>
    <t>朱鹏博</t>
  </si>
  <si>
    <t>陈梓炫</t>
  </si>
  <si>
    <t>杨海梵</t>
  </si>
  <si>
    <t>陈梓韵</t>
  </si>
  <si>
    <t>黄静雯</t>
  </si>
  <si>
    <t>林思含</t>
  </si>
  <si>
    <t>张嘉铧</t>
  </si>
  <si>
    <t>袁梓琦</t>
  </si>
  <si>
    <t>刘诗晨</t>
  </si>
  <si>
    <t>梁浚轩</t>
  </si>
  <si>
    <t>汪梓盈</t>
  </si>
  <si>
    <t>杨茱琳</t>
  </si>
  <si>
    <t>周楚莹</t>
  </si>
  <si>
    <t>麦道奇</t>
  </si>
  <si>
    <t>陈颖怡2</t>
  </si>
  <si>
    <t>赖银婷</t>
  </si>
  <si>
    <t>学校</t>
  </si>
  <si>
    <t>行政班</t>
  </si>
  <si>
    <t>新高考总分</t>
  </si>
  <si>
    <t>新高考语数英总分</t>
  </si>
  <si>
    <t>新高考3+1总分</t>
  </si>
  <si>
    <t>新高考原始总分</t>
  </si>
  <si>
    <t>语文</t>
  </si>
  <si>
    <t>数学</t>
  </si>
  <si>
    <t>英语</t>
  </si>
  <si>
    <t>历史</t>
  </si>
  <si>
    <t>政治</t>
  </si>
  <si>
    <t>地理</t>
  </si>
  <si>
    <t>分数</t>
  </si>
  <si>
    <t>校排</t>
  </si>
  <si>
    <t>班排</t>
  </si>
  <si>
    <t>等级</t>
  </si>
  <si>
    <t>赋分</t>
  </si>
  <si>
    <t>大沥高中</t>
  </si>
  <si>
    <t>106班</t>
  </si>
  <si>
    <t>A</t>
  </si>
  <si>
    <t>B</t>
  </si>
  <si>
    <t>陈颖怡</t>
  </si>
  <si>
    <t>C</t>
  </si>
  <si>
    <t>D</t>
  </si>
  <si>
    <t>新高考赋分总分</t>
  </si>
  <si>
    <t>外语</t>
  </si>
  <si>
    <t>组别</t>
  </si>
  <si>
    <t>学号</t>
  </si>
  <si>
    <t>总分</t>
  </si>
  <si>
    <t>六科</t>
  </si>
  <si>
    <t>三科</t>
  </si>
  <si>
    <t>四科</t>
  </si>
  <si>
    <t>浮动1</t>
  </si>
  <si>
    <t>浮动2</t>
  </si>
  <si>
    <t>四</t>
  </si>
  <si>
    <t>八</t>
  </si>
  <si>
    <t>三</t>
  </si>
  <si>
    <t>二六九</t>
  </si>
  <si>
    <t>二</t>
  </si>
  <si>
    <t>五</t>
  </si>
  <si>
    <t>九</t>
  </si>
  <si>
    <t>七</t>
  </si>
  <si>
    <t>六</t>
  </si>
  <si>
    <t>一四</t>
  </si>
  <si>
    <t>九四</t>
  </si>
  <si>
    <t>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</si>
</sst>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b/>
      <sz val="11"/>
      <color theme="1"/>
      <name val="思源黑体 Regular"/>
      <charset val="134"/>
    </font>
    <font>
      <sz val="11"/>
      <name val="思源黑体 Regular"/>
      <charset val="134"/>
    </font>
    <font>
      <sz val="11"/>
      <color theme="1"/>
      <name val="思源黑体 Regular"/>
      <charset val="134"/>
    </font>
    <font>
      <b/>
      <sz val="11"/>
      <name val="思源黑体 Regular"/>
      <charset val="134"/>
    </font>
    <font>
      <b/>
      <sz val="11"/>
      <color rgb="FF0077FF"/>
      <name val="思源黑体 Regular"/>
      <charset val="134"/>
    </font>
    <font>
      <b/>
      <sz val="22"/>
      <name val="三极小篆体"/>
      <charset val="134"/>
    </font>
    <font>
      <b/>
      <sz val="22"/>
      <color theme="0"/>
      <name val="思源黑体 Regular"/>
      <charset val="134"/>
    </font>
    <font>
      <sz val="11"/>
      <color theme="0"/>
      <name val="思源黑体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name val="思源黑体 Regular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257A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0" tint="-0.05"/>
      </right>
      <top/>
      <bottom/>
      <diagonal/>
    </border>
    <border>
      <left style="thin">
        <color theme="0" tint="-0.05"/>
      </left>
      <right style="thin">
        <color theme="0" tint="-0.0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20" applyNumberFormat="0" applyAlignment="0" applyProtection="0">
      <alignment vertical="center"/>
    </xf>
    <xf numFmtId="0" fontId="25" fillId="9" borderId="21" applyNumberFormat="0" applyAlignment="0" applyProtection="0">
      <alignment vertical="center"/>
    </xf>
    <xf numFmtId="0" fontId="26" fillId="9" borderId="20" applyNumberFormat="0" applyAlignment="0" applyProtection="0">
      <alignment vertical="center"/>
    </xf>
    <xf numFmtId="0" fontId="27" fillId="10" borderId="22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/>
    <xf numFmtId="0" fontId="6" fillId="0" borderId="3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7" fillId="0" borderId="14" xfId="0" applyNumberFormat="1" applyFont="1" applyFill="1" applyBorder="1" applyAlignment="1"/>
    <xf numFmtId="0" fontId="6" fillId="3" borderId="3" xfId="0" applyNumberFormat="1" applyFont="1" applyFill="1" applyBorder="1" applyAlignment="1">
      <alignment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6" borderId="15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/>
    </dxf>
    <dxf>
      <font>
        <name val="思源黑体 Regular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solid">
          <bgColor rgb="FFA0CCFB"/>
        </patternFill>
      </fill>
    </dxf>
    <dxf>
      <fill>
        <patternFill patternType="solid">
          <bgColor rgb="FFD3E5FF"/>
        </patternFill>
      </fill>
    </dxf>
    <dxf>
      <font>
        <b val="1"/>
        <i val="0"/>
        <u val="none"/>
        <sz val="11"/>
        <color rgb="FF160B11"/>
      </font>
      <fill>
        <patternFill patternType="solid">
          <bgColor rgb="FFFFFFFF"/>
        </patternFill>
      </fill>
      <border>
        <left/>
        <right/>
        <top style="medium">
          <color rgb="FF4486F1"/>
        </top>
        <bottom style="medium">
          <color rgb="FF4486F1"/>
        </bottom>
        <vertical/>
        <horizontal/>
      </border>
    </dxf>
    <dxf>
      <border>
        <left/>
        <right/>
        <top style="medium">
          <color rgb="FF4486F1"/>
        </top>
        <bottom style="medium">
          <color rgb="FF4486F1"/>
        </bottom>
        <vertical/>
        <horizontal/>
      </border>
    </dxf>
  </dxfs>
  <tableStyles count="1" defaultTableStyle="TableStyleMedium2" defaultPivotStyle="PivotStyleLight16">
    <tableStyle name="蓝色浅色系三线式标题行镶边列表格样式" count="4" xr9:uid="{B91D5D74-C2C5-4F1C-81F0-DA3A48427830}">
      <tableStyleElement type="wholeTable" dxfId="24"/>
      <tableStyleElement type="headerRow" dxfId="23"/>
      <tableStyleElement type="firstColumnStripe" dxfId="22"/>
      <tableStyleElement type="secondColumnStripe" dxfId="21"/>
    </tableStyle>
  </tableStyles>
  <colors>
    <mruColors>
      <color rgb="00ED7D31"/>
      <color rgb="00F3A26C"/>
      <color rgb="00F7BD96"/>
      <color rgb="000077FF"/>
      <color rgb="00008EFF"/>
      <color rgb="00DDEBF7"/>
      <color rgb="00F9CDAF"/>
      <color rgb="00EDB711"/>
      <color rgb="00257A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2:V58" totalsRowShown="0">
  <autoFilter xmlns:etc="http://www.wps.cn/officeDocument/2017/etCustomData" ref="B2:V58" etc:filterBottomFollowUsedRange="0"/>
  <sortState ref="B2:V58">
    <sortCondition ref="P5" descending="1"/>
  </sortState>
  <tableColumns count="21">
    <tableColumn id="1" name="姓名" dataDxfId="0"/>
    <tableColumn id="2" name="语文&#10;原始" dataDxfId="1"/>
    <tableColumn id="3" name="语文&#10;排名" dataDxfId="2"/>
    <tableColumn id="4" name="数学&#10;原始" dataDxfId="3"/>
    <tableColumn id="5" name="数学&#10;排名" dataDxfId="4"/>
    <tableColumn id="6" name="外语&#10;原始" dataDxfId="5"/>
    <tableColumn id="7" name="外语&#10;排名" dataDxfId="6"/>
    <tableColumn id="8" name="历史&#10;原始" dataDxfId="7"/>
    <tableColumn id="9" name="历史&#10;排名" dataDxfId="8"/>
    <tableColumn id="10" name="政治&#10;赋分" dataDxfId="9"/>
    <tableColumn id="11" name="政治&#10;排名" dataDxfId="10"/>
    <tableColumn id="12" name="地理&#10;赋分" dataDxfId="11"/>
    <tableColumn id="13" name="地理&#10;排名" dataDxfId="12"/>
    <tableColumn id="14" name="赋分&#10;总分" dataDxfId="13"/>
    <tableColumn id="15" name="六总&#10;级排" dataDxfId="14"/>
    <tableColumn id="16" name="语数英" dataDxfId="15"/>
    <tableColumn id="17" name="三总&#10;级排" dataDxfId="16"/>
    <tableColumn id="18" name="语数英+历史" dataDxfId="17"/>
    <tableColumn id="19" name="四总&#10;级排" dataDxfId="18"/>
    <tableColumn id="20" name="原始排名" dataDxfId="19"/>
    <tableColumn id="21" name="进浮" dataDxfId="20">
      <calculatedColumnFormula>U3-P3</calculatedColumnFormula>
    </tableColumn>
  </tableColumns>
  <tableStyleInfo showFirstColumn="0" showLastColumn="0" showRowStripes="0" showColumn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60"/>
  <sheetViews>
    <sheetView showGridLines="0" tabSelected="1" topLeftCell="I1" workbookViewId="0">
      <selection activeCell="AA8" sqref="AA8"/>
    </sheetView>
  </sheetViews>
  <sheetFormatPr defaultColWidth="8.89166666666667" defaultRowHeight="13.5"/>
  <cols>
    <col min="1" max="1" width="1.66666666666667" style="37" customWidth="1"/>
    <col min="2" max="2" width="8.44166666666667" style="38" customWidth="1"/>
    <col min="3" max="3" width="8.44166666666667" style="39" customWidth="1"/>
    <col min="4" max="4" width="8.44166666666667" style="36" customWidth="1"/>
    <col min="5" max="5" width="8.44166666666667" style="39" customWidth="1"/>
    <col min="6" max="6" width="8.44166666666667" style="36" customWidth="1"/>
    <col min="7" max="7" width="8.44166666666667" style="39" customWidth="1"/>
    <col min="8" max="8" width="8.44166666666667" style="36" customWidth="1"/>
    <col min="9" max="9" width="8.44166666666667" style="39" customWidth="1"/>
    <col min="10" max="10" width="8.44166666666667" style="36" customWidth="1"/>
    <col min="11" max="11" width="8.44166666666667" style="39" customWidth="1"/>
    <col min="12" max="12" width="8.44166666666667" style="36" customWidth="1"/>
    <col min="13" max="13" width="8.44166666666667" style="39" customWidth="1"/>
    <col min="14" max="14" width="8.44166666666667" style="36" customWidth="1"/>
    <col min="15" max="15" width="8.44166666666667" style="39" customWidth="1"/>
    <col min="16" max="16" width="8.44166666666667" style="36" customWidth="1"/>
    <col min="17" max="17" width="8.44166666666667" style="39" customWidth="1"/>
    <col min="18" max="18" width="8.44166666666667" style="36" customWidth="1"/>
    <col min="19" max="19" width="8.44166666666667" style="39" customWidth="1"/>
    <col min="20" max="20" width="8.44166666666667" style="36" customWidth="1"/>
    <col min="21" max="21" width="6.44166666666667" style="39" customWidth="1"/>
    <col min="22" max="22" width="6.44166666666667" style="36" customWidth="1"/>
    <col min="23" max="16384" width="8.89166666666667" style="37"/>
  </cols>
  <sheetData>
    <row r="1" ht="36" customHeight="1" spans="2:22">
      <c r="B1" s="4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="35" customFormat="1" ht="40" customHeight="1" spans="2:27">
      <c r="B2" s="42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3" t="s">
        <v>9</v>
      </c>
      <c r="K2" s="43" t="s">
        <v>10</v>
      </c>
      <c r="L2" s="43" t="s">
        <v>11</v>
      </c>
      <c r="M2" s="43" t="s">
        <v>12</v>
      </c>
      <c r="N2" s="43" t="s">
        <v>13</v>
      </c>
      <c r="O2" s="43" t="s">
        <v>14</v>
      </c>
      <c r="P2" s="43" t="s">
        <v>15</v>
      </c>
      <c r="Q2" s="43" t="s">
        <v>16</v>
      </c>
      <c r="R2" s="43" t="s">
        <v>17</v>
      </c>
      <c r="S2" s="43" t="s">
        <v>18</v>
      </c>
      <c r="T2" s="43" t="s">
        <v>19</v>
      </c>
      <c r="U2" s="43" t="s">
        <v>20</v>
      </c>
      <c r="V2" s="43" t="s">
        <v>21</v>
      </c>
      <c r="X2" s="45"/>
      <c r="Y2" s="45"/>
      <c r="Z2" s="45"/>
      <c r="AA2" s="45"/>
    </row>
    <row r="3" s="36" customFormat="1" ht="21" customHeight="1" spans="2:27">
      <c r="B3" s="19" t="s">
        <v>22</v>
      </c>
      <c r="C3" s="20" t="s">
        <v>23</v>
      </c>
      <c r="D3" s="20" t="s">
        <v>24</v>
      </c>
      <c r="E3" s="20" t="s">
        <v>23</v>
      </c>
      <c r="F3" s="20" t="s">
        <v>24</v>
      </c>
      <c r="G3" s="20" t="s">
        <v>23</v>
      </c>
      <c r="H3" s="20" t="s">
        <v>24</v>
      </c>
      <c r="I3" s="20" t="s">
        <v>23</v>
      </c>
      <c r="J3" s="20" t="s">
        <v>24</v>
      </c>
      <c r="K3" s="20" t="s">
        <v>24</v>
      </c>
      <c r="L3" s="20" t="s">
        <v>24</v>
      </c>
      <c r="M3" s="20" t="s">
        <v>24</v>
      </c>
      <c r="N3" s="20" t="s">
        <v>24</v>
      </c>
      <c r="O3" s="20" t="s">
        <v>23</v>
      </c>
      <c r="P3" s="20" t="s">
        <v>24</v>
      </c>
      <c r="Q3" s="20" t="s">
        <v>23</v>
      </c>
      <c r="R3" s="20" t="s">
        <v>24</v>
      </c>
      <c r="S3" s="20" t="s">
        <v>23</v>
      </c>
      <c r="T3" s="20" t="s">
        <v>24</v>
      </c>
      <c r="U3" s="46">
        <v>101</v>
      </c>
      <c r="V3" s="46" t="e">
        <f t="shared" ref="V3:V58" si="0">U3-P3</f>
        <v>#VALUE!</v>
      </c>
      <c r="X3" s="45"/>
      <c r="Y3" s="45"/>
      <c r="Z3" s="45"/>
      <c r="AA3" s="45"/>
    </row>
    <row r="4" s="36" customFormat="1" ht="21" customHeight="1" spans="2:27">
      <c r="B4" s="20" t="s">
        <v>25</v>
      </c>
      <c r="C4" s="20" t="s">
        <v>23</v>
      </c>
      <c r="D4" s="20" t="s">
        <v>24</v>
      </c>
      <c r="E4" s="20" t="s">
        <v>23</v>
      </c>
      <c r="F4" s="20" t="s">
        <v>24</v>
      </c>
      <c r="G4" s="20" t="s">
        <v>23</v>
      </c>
      <c r="H4" s="20" t="s">
        <v>24</v>
      </c>
      <c r="I4" s="20" t="s">
        <v>23</v>
      </c>
      <c r="J4" s="20" t="s">
        <v>24</v>
      </c>
      <c r="K4" s="20" t="s">
        <v>24</v>
      </c>
      <c r="L4" s="20" t="s">
        <v>24</v>
      </c>
      <c r="M4" s="20" t="s">
        <v>24</v>
      </c>
      <c r="N4" s="20" t="s">
        <v>24</v>
      </c>
      <c r="O4" s="20" t="s">
        <v>23</v>
      </c>
      <c r="P4" s="20" t="s">
        <v>24</v>
      </c>
      <c r="Q4" s="20" t="s">
        <v>23</v>
      </c>
      <c r="R4" s="20" t="s">
        <v>24</v>
      </c>
      <c r="S4" s="20" t="s">
        <v>23</v>
      </c>
      <c r="T4" s="20" t="s">
        <v>24</v>
      </c>
      <c r="U4" s="46">
        <v>3</v>
      </c>
      <c r="V4" s="46" t="e">
        <f t="shared" si="0"/>
        <v>#VALUE!</v>
      </c>
      <c r="X4" s="45"/>
      <c r="Y4" s="45"/>
      <c r="Z4" s="45"/>
      <c r="AA4" s="45"/>
    </row>
    <row r="5" s="36" customFormat="1" ht="21" customHeight="1" spans="2:27">
      <c r="B5" s="20" t="s">
        <v>26</v>
      </c>
      <c r="C5" s="20">
        <v>86</v>
      </c>
      <c r="D5" s="20">
        <v>143</v>
      </c>
      <c r="E5" s="20">
        <v>37</v>
      </c>
      <c r="F5" s="20">
        <v>141</v>
      </c>
      <c r="G5" s="20">
        <v>85</v>
      </c>
      <c r="H5" s="20">
        <v>77</v>
      </c>
      <c r="I5" s="20">
        <v>66</v>
      </c>
      <c r="J5" s="20">
        <v>116</v>
      </c>
      <c r="K5" s="20">
        <v>43</v>
      </c>
      <c r="L5" s="20">
        <v>193</v>
      </c>
      <c r="M5" s="20">
        <v>66</v>
      </c>
      <c r="N5" s="20">
        <v>72</v>
      </c>
      <c r="O5" s="20">
        <v>383</v>
      </c>
      <c r="P5" s="20">
        <v>163</v>
      </c>
      <c r="Q5" s="20">
        <v>208</v>
      </c>
      <c r="R5" s="20">
        <v>139</v>
      </c>
      <c r="S5" s="20">
        <v>274</v>
      </c>
      <c r="T5" s="20">
        <v>139</v>
      </c>
      <c r="U5" s="46">
        <v>75</v>
      </c>
      <c r="V5" s="46">
        <f t="shared" si="0"/>
        <v>-88</v>
      </c>
      <c r="X5" s="45"/>
      <c r="Y5" s="45"/>
      <c r="Z5" s="45"/>
      <c r="AA5" s="45"/>
    </row>
    <row r="6" s="36" customFormat="1" ht="21" customHeight="1" spans="2:27">
      <c r="B6" s="20" t="s">
        <v>27</v>
      </c>
      <c r="C6" s="20">
        <v>81</v>
      </c>
      <c r="D6" s="20">
        <v>171</v>
      </c>
      <c r="E6" s="20">
        <v>51</v>
      </c>
      <c r="F6" s="20">
        <v>88</v>
      </c>
      <c r="G6" s="20">
        <v>57</v>
      </c>
      <c r="H6" s="20">
        <v>153</v>
      </c>
      <c r="I6" s="20">
        <v>54</v>
      </c>
      <c r="J6" s="20">
        <v>183</v>
      </c>
      <c r="K6" s="20">
        <v>73</v>
      </c>
      <c r="L6" s="20">
        <v>68</v>
      </c>
      <c r="M6" s="20">
        <v>77</v>
      </c>
      <c r="N6" s="20">
        <v>33</v>
      </c>
      <c r="O6" s="20">
        <v>393</v>
      </c>
      <c r="P6" s="20">
        <v>153</v>
      </c>
      <c r="Q6" s="20">
        <v>189</v>
      </c>
      <c r="R6" s="20">
        <v>163</v>
      </c>
      <c r="S6" s="20">
        <v>243</v>
      </c>
      <c r="T6" s="20">
        <v>178</v>
      </c>
      <c r="U6" s="46">
        <v>122</v>
      </c>
      <c r="V6" s="46">
        <f t="shared" si="0"/>
        <v>-31</v>
      </c>
      <c r="X6" s="45"/>
      <c r="Y6" s="45"/>
      <c r="Z6" s="45"/>
      <c r="AA6" s="45"/>
    </row>
    <row r="7" s="36" customFormat="1" ht="21" customHeight="1" spans="2:27">
      <c r="B7" s="20" t="s">
        <v>28</v>
      </c>
      <c r="C7" s="20">
        <v>88</v>
      </c>
      <c r="D7" s="20">
        <v>127</v>
      </c>
      <c r="E7" s="20">
        <v>37</v>
      </c>
      <c r="F7" s="20">
        <v>141</v>
      </c>
      <c r="G7" s="20">
        <v>78</v>
      </c>
      <c r="H7" s="20">
        <v>96</v>
      </c>
      <c r="I7" s="20">
        <v>61</v>
      </c>
      <c r="J7" s="20">
        <v>154</v>
      </c>
      <c r="K7" s="20">
        <v>73</v>
      </c>
      <c r="L7" s="20">
        <v>68</v>
      </c>
      <c r="M7" s="20">
        <v>66</v>
      </c>
      <c r="N7" s="20">
        <v>72</v>
      </c>
      <c r="O7" s="20">
        <v>403</v>
      </c>
      <c r="P7" s="20">
        <v>145</v>
      </c>
      <c r="Q7" s="20">
        <v>203</v>
      </c>
      <c r="R7" s="20">
        <v>149</v>
      </c>
      <c r="S7" s="20">
        <v>264</v>
      </c>
      <c r="T7" s="20">
        <v>154</v>
      </c>
      <c r="U7" s="46">
        <v>99</v>
      </c>
      <c r="V7" s="46">
        <f t="shared" si="0"/>
        <v>-46</v>
      </c>
      <c r="X7" s="45"/>
      <c r="Y7" s="45"/>
      <c r="Z7" s="45"/>
      <c r="AA7" s="45"/>
    </row>
    <row r="8" s="36" customFormat="1" ht="21" customHeight="1" spans="2:27">
      <c r="B8" s="20" t="s">
        <v>29</v>
      </c>
      <c r="C8" s="20">
        <v>90</v>
      </c>
      <c r="D8" s="20">
        <v>116</v>
      </c>
      <c r="E8" s="20">
        <v>33</v>
      </c>
      <c r="F8" s="20">
        <v>161</v>
      </c>
      <c r="G8" s="20">
        <v>84</v>
      </c>
      <c r="H8" s="20">
        <v>82</v>
      </c>
      <c r="I8" s="20">
        <v>64</v>
      </c>
      <c r="J8" s="20">
        <v>132</v>
      </c>
      <c r="K8" s="20">
        <v>71</v>
      </c>
      <c r="L8" s="20">
        <v>87</v>
      </c>
      <c r="M8" s="20">
        <v>63</v>
      </c>
      <c r="N8" s="20">
        <v>81</v>
      </c>
      <c r="O8" s="20">
        <v>405</v>
      </c>
      <c r="P8" s="20">
        <v>142</v>
      </c>
      <c r="Q8" s="20">
        <v>207</v>
      </c>
      <c r="R8" s="20">
        <v>141</v>
      </c>
      <c r="S8" s="20">
        <v>271</v>
      </c>
      <c r="T8" s="20">
        <v>145</v>
      </c>
      <c r="U8" s="46">
        <v>48</v>
      </c>
      <c r="V8" s="46">
        <f t="shared" si="0"/>
        <v>-94</v>
      </c>
      <c r="X8" s="45"/>
      <c r="Y8" s="45"/>
      <c r="Z8" s="45"/>
      <c r="AA8" s="45"/>
    </row>
    <row r="9" s="36" customFormat="1" ht="21" customHeight="1" spans="2:27">
      <c r="B9" s="20" t="s">
        <v>30</v>
      </c>
      <c r="C9" s="20">
        <v>97</v>
      </c>
      <c r="D9" s="20">
        <v>64</v>
      </c>
      <c r="E9" s="20">
        <v>41</v>
      </c>
      <c r="F9" s="20">
        <v>129</v>
      </c>
      <c r="G9" s="20">
        <v>58</v>
      </c>
      <c r="H9" s="20">
        <v>150</v>
      </c>
      <c r="I9" s="20">
        <v>78</v>
      </c>
      <c r="J9" s="20">
        <v>18</v>
      </c>
      <c r="K9" s="20">
        <v>66</v>
      </c>
      <c r="L9" s="20">
        <v>128</v>
      </c>
      <c r="M9" s="20">
        <v>74</v>
      </c>
      <c r="N9" s="20">
        <v>43</v>
      </c>
      <c r="O9" s="20">
        <v>414</v>
      </c>
      <c r="P9" s="20">
        <v>130</v>
      </c>
      <c r="Q9" s="20">
        <v>196</v>
      </c>
      <c r="R9" s="20">
        <v>158</v>
      </c>
      <c r="S9" s="20">
        <v>274</v>
      </c>
      <c r="T9" s="20">
        <v>139</v>
      </c>
      <c r="U9" s="46">
        <v>0</v>
      </c>
      <c r="V9" s="46">
        <f t="shared" si="0"/>
        <v>-130</v>
      </c>
      <c r="X9" s="45"/>
      <c r="Y9" s="45"/>
      <c r="Z9" s="45"/>
      <c r="AA9" s="45"/>
    </row>
    <row r="10" s="36" customFormat="1" ht="21" customHeight="1" spans="2:27">
      <c r="B10" s="20" t="s">
        <v>31</v>
      </c>
      <c r="C10" s="20">
        <v>97</v>
      </c>
      <c r="D10" s="20">
        <v>64</v>
      </c>
      <c r="E10" s="20">
        <v>34</v>
      </c>
      <c r="F10" s="20">
        <v>156</v>
      </c>
      <c r="G10" s="20">
        <v>93</v>
      </c>
      <c r="H10" s="20">
        <v>11</v>
      </c>
      <c r="I10" s="20">
        <v>66</v>
      </c>
      <c r="J10" s="20">
        <v>116</v>
      </c>
      <c r="K10" s="20">
        <v>69</v>
      </c>
      <c r="L10" s="20">
        <v>113</v>
      </c>
      <c r="M10" s="20">
        <v>59</v>
      </c>
      <c r="N10" s="20">
        <v>87</v>
      </c>
      <c r="O10" s="20">
        <v>418</v>
      </c>
      <c r="P10" s="20">
        <v>122</v>
      </c>
      <c r="Q10" s="20">
        <v>224</v>
      </c>
      <c r="R10" s="20">
        <v>97</v>
      </c>
      <c r="S10" s="20">
        <v>290</v>
      </c>
      <c r="T10" s="20">
        <v>100</v>
      </c>
      <c r="U10" s="46">
        <v>61</v>
      </c>
      <c r="V10" s="46">
        <f t="shared" si="0"/>
        <v>-61</v>
      </c>
      <c r="X10" s="45"/>
      <c r="Y10" s="45"/>
      <c r="Z10" s="45"/>
      <c r="AA10" s="45"/>
    </row>
    <row r="11" s="36" customFormat="1" ht="21" customHeight="1" spans="2:27">
      <c r="B11" s="20" t="s">
        <v>32</v>
      </c>
      <c r="C11" s="20">
        <v>91</v>
      </c>
      <c r="D11" s="20">
        <v>109</v>
      </c>
      <c r="E11" s="20">
        <v>51</v>
      </c>
      <c r="F11" s="20">
        <v>88</v>
      </c>
      <c r="G11" s="20">
        <v>74</v>
      </c>
      <c r="H11" s="20">
        <v>107</v>
      </c>
      <c r="I11" s="20">
        <v>67</v>
      </c>
      <c r="J11" s="20">
        <v>107</v>
      </c>
      <c r="K11" s="20">
        <v>56</v>
      </c>
      <c r="L11" s="20">
        <v>177</v>
      </c>
      <c r="M11" s="20">
        <v>92</v>
      </c>
      <c r="N11" s="20">
        <v>1</v>
      </c>
      <c r="O11" s="20">
        <v>431</v>
      </c>
      <c r="P11" s="20">
        <v>105</v>
      </c>
      <c r="Q11" s="20">
        <v>216</v>
      </c>
      <c r="R11" s="20">
        <v>122</v>
      </c>
      <c r="S11" s="20">
        <v>283</v>
      </c>
      <c r="T11" s="20">
        <v>121</v>
      </c>
      <c r="U11" s="46">
        <v>100</v>
      </c>
      <c r="V11" s="46">
        <f t="shared" si="0"/>
        <v>-5</v>
      </c>
      <c r="X11" s="45"/>
      <c r="Y11" s="45"/>
      <c r="Z11" s="45"/>
      <c r="AA11" s="45"/>
    </row>
    <row r="12" s="36" customFormat="1" ht="21" customHeight="1" spans="2:27">
      <c r="B12" s="20" t="s">
        <v>33</v>
      </c>
      <c r="C12" s="20">
        <v>94</v>
      </c>
      <c r="D12" s="20">
        <v>87</v>
      </c>
      <c r="E12" s="20">
        <v>87</v>
      </c>
      <c r="F12" s="20">
        <v>11</v>
      </c>
      <c r="G12" s="20">
        <v>52</v>
      </c>
      <c r="H12" s="20">
        <v>163</v>
      </c>
      <c r="I12" s="20">
        <v>71</v>
      </c>
      <c r="J12" s="20">
        <v>63</v>
      </c>
      <c r="K12" s="20">
        <v>53</v>
      </c>
      <c r="L12" s="20">
        <v>181</v>
      </c>
      <c r="M12" s="20">
        <v>74</v>
      </c>
      <c r="N12" s="20">
        <v>43</v>
      </c>
      <c r="O12" s="20">
        <v>431</v>
      </c>
      <c r="P12" s="20">
        <v>105</v>
      </c>
      <c r="Q12" s="20">
        <v>233</v>
      </c>
      <c r="R12" s="20">
        <v>75</v>
      </c>
      <c r="S12" s="20">
        <v>304</v>
      </c>
      <c r="T12" s="20">
        <v>74</v>
      </c>
      <c r="U12" s="46">
        <v>134</v>
      </c>
      <c r="V12" s="46">
        <f t="shared" si="0"/>
        <v>29</v>
      </c>
      <c r="X12" s="45"/>
      <c r="Y12" s="45"/>
      <c r="Z12" s="45"/>
      <c r="AA12" s="45"/>
    </row>
    <row r="13" s="36" customFormat="1" ht="21" customHeight="1" spans="2:27">
      <c r="B13" s="20" t="s">
        <v>34</v>
      </c>
      <c r="C13" s="20">
        <v>104</v>
      </c>
      <c r="D13" s="20">
        <v>19</v>
      </c>
      <c r="E13" s="20">
        <v>27</v>
      </c>
      <c r="F13" s="20">
        <v>175</v>
      </c>
      <c r="G13" s="20">
        <v>88</v>
      </c>
      <c r="H13" s="20">
        <v>69</v>
      </c>
      <c r="I13" s="20">
        <v>70</v>
      </c>
      <c r="J13" s="20">
        <v>71</v>
      </c>
      <c r="K13" s="20">
        <v>76</v>
      </c>
      <c r="L13" s="20">
        <v>52</v>
      </c>
      <c r="M13" s="20">
        <v>70</v>
      </c>
      <c r="N13" s="20">
        <v>60</v>
      </c>
      <c r="O13" s="20">
        <v>435</v>
      </c>
      <c r="P13" s="20">
        <v>100</v>
      </c>
      <c r="Q13" s="20">
        <v>219</v>
      </c>
      <c r="R13" s="20">
        <v>110</v>
      </c>
      <c r="S13" s="20">
        <v>289</v>
      </c>
      <c r="T13" s="20">
        <v>107</v>
      </c>
      <c r="U13" s="46">
        <v>74</v>
      </c>
      <c r="V13" s="46">
        <f t="shared" si="0"/>
        <v>-26</v>
      </c>
      <c r="X13" s="45"/>
      <c r="Y13" s="45"/>
      <c r="Z13" s="45"/>
      <c r="AA13" s="45"/>
    </row>
    <row r="14" s="36" customFormat="1" ht="21" customHeight="1" spans="2:27">
      <c r="B14" s="20" t="s">
        <v>35</v>
      </c>
      <c r="C14" s="20">
        <v>80</v>
      </c>
      <c r="D14" s="20">
        <v>175</v>
      </c>
      <c r="E14" s="20">
        <v>49</v>
      </c>
      <c r="F14" s="20">
        <v>94</v>
      </c>
      <c r="G14" s="20">
        <v>111</v>
      </c>
      <c r="H14" s="20">
        <v>14</v>
      </c>
      <c r="I14" s="20">
        <v>61</v>
      </c>
      <c r="J14" s="20">
        <v>154</v>
      </c>
      <c r="K14" s="20">
        <v>76</v>
      </c>
      <c r="L14" s="20">
        <v>52</v>
      </c>
      <c r="M14" s="20">
        <v>58</v>
      </c>
      <c r="N14" s="20">
        <v>91</v>
      </c>
      <c r="O14" s="20">
        <v>435</v>
      </c>
      <c r="P14" s="20">
        <v>100</v>
      </c>
      <c r="Q14" s="20">
        <v>240</v>
      </c>
      <c r="R14" s="20">
        <v>64</v>
      </c>
      <c r="S14" s="20">
        <v>301</v>
      </c>
      <c r="T14" s="20">
        <v>80</v>
      </c>
      <c r="U14" s="46">
        <v>98</v>
      </c>
      <c r="V14" s="46">
        <f t="shared" si="0"/>
        <v>-2</v>
      </c>
      <c r="X14" s="45"/>
      <c r="Y14" s="45"/>
      <c r="Z14" s="45"/>
      <c r="AA14" s="45"/>
    </row>
    <row r="15" s="36" customFormat="1" ht="21" customHeight="1" spans="2:27">
      <c r="B15" s="20" t="s">
        <v>36</v>
      </c>
      <c r="C15" s="20">
        <v>98</v>
      </c>
      <c r="D15" s="20">
        <v>55</v>
      </c>
      <c r="E15" s="20">
        <v>34</v>
      </c>
      <c r="F15" s="20">
        <v>156</v>
      </c>
      <c r="G15" s="20">
        <v>101</v>
      </c>
      <c r="H15" s="20">
        <v>30</v>
      </c>
      <c r="I15" s="20">
        <v>57</v>
      </c>
      <c r="J15" s="20">
        <v>171</v>
      </c>
      <c r="K15" s="20">
        <v>61</v>
      </c>
      <c r="L15" s="20">
        <v>156</v>
      </c>
      <c r="M15" s="20">
        <v>86</v>
      </c>
      <c r="N15" s="20">
        <v>3</v>
      </c>
      <c r="O15" s="20">
        <v>437</v>
      </c>
      <c r="P15" s="20">
        <v>95</v>
      </c>
      <c r="Q15" s="20">
        <v>233</v>
      </c>
      <c r="R15" s="20">
        <v>75</v>
      </c>
      <c r="S15" s="20">
        <v>290</v>
      </c>
      <c r="T15" s="20">
        <v>100</v>
      </c>
      <c r="U15" s="46">
        <v>58</v>
      </c>
      <c r="V15" s="46">
        <f t="shared" si="0"/>
        <v>-37</v>
      </c>
      <c r="X15" s="45"/>
      <c r="Y15" s="45"/>
      <c r="Z15" s="45"/>
      <c r="AA15" s="45"/>
    </row>
    <row r="16" s="36" customFormat="1" ht="21" customHeight="1" spans="2:27">
      <c r="B16" s="20" t="s">
        <v>37</v>
      </c>
      <c r="C16" s="20">
        <v>99</v>
      </c>
      <c r="D16" s="20">
        <v>48</v>
      </c>
      <c r="E16" s="20">
        <v>28</v>
      </c>
      <c r="F16" s="20">
        <v>173</v>
      </c>
      <c r="G16" s="20">
        <v>97</v>
      </c>
      <c r="H16" s="20">
        <v>34</v>
      </c>
      <c r="I16" s="20">
        <v>66</v>
      </c>
      <c r="J16" s="20">
        <v>116</v>
      </c>
      <c r="K16" s="20">
        <v>84</v>
      </c>
      <c r="L16" s="20">
        <v>14</v>
      </c>
      <c r="M16" s="20">
        <v>63</v>
      </c>
      <c r="N16" s="20">
        <v>81</v>
      </c>
      <c r="O16" s="20">
        <v>437</v>
      </c>
      <c r="P16" s="20">
        <v>95</v>
      </c>
      <c r="Q16" s="20">
        <v>224</v>
      </c>
      <c r="R16" s="20">
        <v>97</v>
      </c>
      <c r="S16" s="20">
        <v>290</v>
      </c>
      <c r="T16" s="20">
        <v>100</v>
      </c>
      <c r="U16" s="46">
        <v>115</v>
      </c>
      <c r="V16" s="46">
        <f t="shared" si="0"/>
        <v>20</v>
      </c>
      <c r="X16" s="45"/>
      <c r="Y16" s="45"/>
      <c r="Z16" s="45"/>
      <c r="AA16" s="45"/>
    </row>
    <row r="17" s="36" customFormat="1" ht="21" customHeight="1" spans="2:22">
      <c r="B17" s="20" t="s">
        <v>38</v>
      </c>
      <c r="C17" s="20">
        <v>94</v>
      </c>
      <c r="D17" s="20">
        <v>87</v>
      </c>
      <c r="E17" s="20">
        <v>53</v>
      </c>
      <c r="F17" s="20">
        <v>78</v>
      </c>
      <c r="G17" s="20">
        <v>112</v>
      </c>
      <c r="H17" s="20">
        <v>11</v>
      </c>
      <c r="I17" s="20">
        <v>62</v>
      </c>
      <c r="J17" s="20">
        <v>148</v>
      </c>
      <c r="K17" s="20">
        <v>66</v>
      </c>
      <c r="L17" s="20">
        <v>128</v>
      </c>
      <c r="M17" s="20">
        <v>52</v>
      </c>
      <c r="N17" s="20">
        <v>97</v>
      </c>
      <c r="O17" s="20">
        <v>439</v>
      </c>
      <c r="P17" s="20">
        <v>87</v>
      </c>
      <c r="Q17" s="20">
        <v>259</v>
      </c>
      <c r="R17" s="20">
        <v>28</v>
      </c>
      <c r="S17" s="20">
        <v>321</v>
      </c>
      <c r="T17" s="20">
        <v>43</v>
      </c>
      <c r="U17" s="46">
        <v>52</v>
      </c>
      <c r="V17" s="46">
        <f t="shared" si="0"/>
        <v>-35</v>
      </c>
    </row>
    <row r="18" s="36" customFormat="1" ht="21" customHeight="1" spans="2:22">
      <c r="B18" s="20" t="s">
        <v>39</v>
      </c>
      <c r="C18" s="20">
        <v>106</v>
      </c>
      <c r="D18" s="20">
        <v>13</v>
      </c>
      <c r="E18" s="20">
        <v>48</v>
      </c>
      <c r="F18" s="20">
        <v>99</v>
      </c>
      <c r="G18" s="20">
        <v>76</v>
      </c>
      <c r="H18" s="20">
        <v>102</v>
      </c>
      <c r="I18" s="20">
        <v>62</v>
      </c>
      <c r="J18" s="20">
        <v>148</v>
      </c>
      <c r="K18" s="20">
        <v>77</v>
      </c>
      <c r="L18" s="20">
        <v>41</v>
      </c>
      <c r="M18" s="20">
        <v>71</v>
      </c>
      <c r="N18" s="20">
        <v>53</v>
      </c>
      <c r="O18" s="20">
        <v>440</v>
      </c>
      <c r="P18" s="20">
        <v>84</v>
      </c>
      <c r="Q18" s="20">
        <v>230</v>
      </c>
      <c r="R18" s="20">
        <v>82</v>
      </c>
      <c r="S18" s="20">
        <v>292</v>
      </c>
      <c r="T18" s="20">
        <v>95</v>
      </c>
      <c r="U18" s="46">
        <v>81</v>
      </c>
      <c r="V18" s="46">
        <f t="shared" si="0"/>
        <v>-3</v>
      </c>
    </row>
    <row r="19" s="36" customFormat="1" ht="21" customHeight="1" spans="2:22">
      <c r="B19" s="20" t="s">
        <v>40</v>
      </c>
      <c r="C19" s="20">
        <v>98</v>
      </c>
      <c r="D19" s="20">
        <v>55</v>
      </c>
      <c r="E19" s="20">
        <v>51</v>
      </c>
      <c r="F19" s="20">
        <v>88</v>
      </c>
      <c r="G19" s="20">
        <v>52</v>
      </c>
      <c r="H19" s="20">
        <v>163</v>
      </c>
      <c r="I19" s="20">
        <v>79</v>
      </c>
      <c r="J19" s="20">
        <v>15</v>
      </c>
      <c r="K19" s="20">
        <v>87</v>
      </c>
      <c r="L19" s="20">
        <v>5</v>
      </c>
      <c r="M19" s="20">
        <v>74</v>
      </c>
      <c r="N19" s="20">
        <v>43</v>
      </c>
      <c r="O19" s="20">
        <v>441</v>
      </c>
      <c r="P19" s="20">
        <v>83</v>
      </c>
      <c r="Q19" s="20">
        <v>201</v>
      </c>
      <c r="R19" s="20">
        <v>152</v>
      </c>
      <c r="S19" s="20">
        <v>280</v>
      </c>
      <c r="T19" s="20">
        <v>129</v>
      </c>
      <c r="U19" s="46">
        <v>55</v>
      </c>
      <c r="V19" s="46">
        <f t="shared" si="0"/>
        <v>-28</v>
      </c>
    </row>
    <row r="20" s="36" customFormat="1" ht="21" customHeight="1" spans="2:22">
      <c r="B20" s="20" t="s">
        <v>41</v>
      </c>
      <c r="C20" s="20">
        <v>83</v>
      </c>
      <c r="D20" s="20">
        <v>164</v>
      </c>
      <c r="E20" s="20">
        <v>85</v>
      </c>
      <c r="F20" s="20">
        <v>14</v>
      </c>
      <c r="G20" s="20">
        <v>89</v>
      </c>
      <c r="H20" s="20">
        <v>66</v>
      </c>
      <c r="I20" s="20">
        <v>56</v>
      </c>
      <c r="J20" s="20">
        <v>173</v>
      </c>
      <c r="K20" s="20">
        <v>63</v>
      </c>
      <c r="L20" s="20">
        <v>152</v>
      </c>
      <c r="M20" s="20">
        <v>66</v>
      </c>
      <c r="N20" s="20">
        <v>72</v>
      </c>
      <c r="O20" s="20">
        <v>442</v>
      </c>
      <c r="P20" s="20">
        <v>81</v>
      </c>
      <c r="Q20" s="20">
        <v>257</v>
      </c>
      <c r="R20" s="20">
        <v>31</v>
      </c>
      <c r="S20" s="20">
        <v>313</v>
      </c>
      <c r="T20" s="20">
        <v>55</v>
      </c>
      <c r="U20" s="46">
        <v>63</v>
      </c>
      <c r="V20" s="46">
        <f t="shared" si="0"/>
        <v>-18</v>
      </c>
    </row>
    <row r="21" s="36" customFormat="1" ht="21" customHeight="1" spans="2:22">
      <c r="B21" s="20" t="s">
        <v>42</v>
      </c>
      <c r="C21" s="20">
        <v>88</v>
      </c>
      <c r="D21" s="20">
        <v>127</v>
      </c>
      <c r="E21" s="20">
        <v>28</v>
      </c>
      <c r="F21" s="20">
        <v>173</v>
      </c>
      <c r="G21" s="20">
        <v>108</v>
      </c>
      <c r="H21" s="20">
        <v>21</v>
      </c>
      <c r="I21" s="20">
        <v>70</v>
      </c>
      <c r="J21" s="20">
        <v>71</v>
      </c>
      <c r="K21" s="20">
        <v>66</v>
      </c>
      <c r="L21" s="20">
        <v>128</v>
      </c>
      <c r="M21" s="20">
        <v>82</v>
      </c>
      <c r="N21" s="20">
        <v>16</v>
      </c>
      <c r="O21" s="20">
        <v>442</v>
      </c>
      <c r="P21" s="20">
        <v>81</v>
      </c>
      <c r="Q21" s="20">
        <v>224</v>
      </c>
      <c r="R21" s="20">
        <v>97</v>
      </c>
      <c r="S21" s="20">
        <v>294</v>
      </c>
      <c r="T21" s="20">
        <v>92</v>
      </c>
      <c r="U21" s="46">
        <v>107</v>
      </c>
      <c r="V21" s="46">
        <f t="shared" si="0"/>
        <v>26</v>
      </c>
    </row>
    <row r="22" s="36" customFormat="1" ht="21" customHeight="1" spans="2:22">
      <c r="B22" s="20" t="s">
        <v>43</v>
      </c>
      <c r="C22" s="20">
        <v>97</v>
      </c>
      <c r="D22" s="20">
        <v>64</v>
      </c>
      <c r="E22" s="20">
        <v>35</v>
      </c>
      <c r="F22" s="20">
        <v>151</v>
      </c>
      <c r="G22" s="20">
        <v>78</v>
      </c>
      <c r="H22" s="20">
        <v>96</v>
      </c>
      <c r="I22" s="20">
        <v>78</v>
      </c>
      <c r="J22" s="20">
        <v>18</v>
      </c>
      <c r="K22" s="20">
        <v>71</v>
      </c>
      <c r="L22" s="20">
        <v>87</v>
      </c>
      <c r="M22" s="20">
        <v>85</v>
      </c>
      <c r="N22" s="20">
        <v>8</v>
      </c>
      <c r="O22" s="20">
        <v>444</v>
      </c>
      <c r="P22" s="20">
        <v>75</v>
      </c>
      <c r="Q22" s="20">
        <v>210</v>
      </c>
      <c r="R22" s="20">
        <v>133</v>
      </c>
      <c r="S22" s="20">
        <v>288</v>
      </c>
      <c r="T22" s="20">
        <v>110</v>
      </c>
      <c r="U22" s="46">
        <v>38</v>
      </c>
      <c r="V22" s="46">
        <f t="shared" si="0"/>
        <v>-37</v>
      </c>
    </row>
    <row r="23" s="36" customFormat="1" ht="21" customHeight="1" spans="2:22">
      <c r="B23" s="20" t="s">
        <v>44</v>
      </c>
      <c r="C23" s="20">
        <v>102</v>
      </c>
      <c r="D23" s="20">
        <v>32</v>
      </c>
      <c r="E23" s="20">
        <v>54</v>
      </c>
      <c r="F23" s="20">
        <v>76</v>
      </c>
      <c r="G23" s="20">
        <v>76</v>
      </c>
      <c r="H23" s="20">
        <v>102</v>
      </c>
      <c r="I23" s="20">
        <v>75</v>
      </c>
      <c r="J23" s="20">
        <v>38</v>
      </c>
      <c r="K23" s="20">
        <v>68</v>
      </c>
      <c r="L23" s="20">
        <v>119</v>
      </c>
      <c r="M23" s="20">
        <v>70</v>
      </c>
      <c r="N23" s="20">
        <v>60</v>
      </c>
      <c r="O23" s="20">
        <v>445</v>
      </c>
      <c r="P23" s="20">
        <v>73</v>
      </c>
      <c r="Q23" s="20">
        <v>232</v>
      </c>
      <c r="R23" s="20">
        <v>77</v>
      </c>
      <c r="S23" s="20">
        <v>307</v>
      </c>
      <c r="T23" s="20">
        <v>70</v>
      </c>
      <c r="U23" s="46">
        <v>82</v>
      </c>
      <c r="V23" s="46">
        <f t="shared" si="0"/>
        <v>9</v>
      </c>
    </row>
    <row r="24" s="36" customFormat="1" ht="21" customHeight="1" spans="2:22">
      <c r="B24" s="20" t="s">
        <v>45</v>
      </c>
      <c r="C24" s="20">
        <v>104</v>
      </c>
      <c r="D24" s="20">
        <v>19</v>
      </c>
      <c r="E24" s="20">
        <v>48</v>
      </c>
      <c r="F24" s="20">
        <v>99</v>
      </c>
      <c r="G24" s="20">
        <v>103</v>
      </c>
      <c r="H24" s="20">
        <v>25</v>
      </c>
      <c r="I24" s="20">
        <v>63</v>
      </c>
      <c r="J24" s="20">
        <v>139</v>
      </c>
      <c r="K24" s="20">
        <v>61</v>
      </c>
      <c r="L24" s="20">
        <v>156</v>
      </c>
      <c r="M24" s="20">
        <v>70</v>
      </c>
      <c r="N24" s="20">
        <v>60</v>
      </c>
      <c r="O24" s="20">
        <v>449</v>
      </c>
      <c r="P24" s="20">
        <v>67</v>
      </c>
      <c r="Q24" s="20">
        <v>255</v>
      </c>
      <c r="R24" s="20">
        <v>36</v>
      </c>
      <c r="S24" s="20">
        <v>318</v>
      </c>
      <c r="T24" s="20">
        <v>48</v>
      </c>
      <c r="U24" s="46">
        <v>22</v>
      </c>
      <c r="V24" s="46">
        <f t="shared" si="0"/>
        <v>-45</v>
      </c>
    </row>
    <row r="25" s="36" customFormat="1" ht="21" customHeight="1" spans="2:22">
      <c r="B25" s="20" t="s">
        <v>46</v>
      </c>
      <c r="C25" s="20">
        <v>96</v>
      </c>
      <c r="D25" s="20">
        <v>73</v>
      </c>
      <c r="E25" s="20">
        <v>12</v>
      </c>
      <c r="F25" s="20">
        <v>194</v>
      </c>
      <c r="G25" s="20">
        <v>106</v>
      </c>
      <c r="H25" s="20">
        <v>23</v>
      </c>
      <c r="I25" s="20">
        <v>76</v>
      </c>
      <c r="J25" s="20">
        <v>32</v>
      </c>
      <c r="K25" s="20">
        <v>80</v>
      </c>
      <c r="L25" s="20">
        <v>28</v>
      </c>
      <c r="M25" s="20">
        <v>79</v>
      </c>
      <c r="N25" s="20">
        <v>25</v>
      </c>
      <c r="O25" s="20">
        <v>449</v>
      </c>
      <c r="P25" s="20">
        <v>67</v>
      </c>
      <c r="Q25" s="20">
        <v>214</v>
      </c>
      <c r="R25" s="20">
        <v>125</v>
      </c>
      <c r="S25" s="20">
        <v>290</v>
      </c>
      <c r="T25" s="20">
        <v>100</v>
      </c>
      <c r="U25" s="46">
        <v>40</v>
      </c>
      <c r="V25" s="46">
        <f t="shared" si="0"/>
        <v>-27</v>
      </c>
    </row>
    <row r="26" s="36" customFormat="1" ht="21" customHeight="1" spans="2:22">
      <c r="B26" s="20" t="s">
        <v>47</v>
      </c>
      <c r="C26" s="20">
        <v>83</v>
      </c>
      <c r="D26" s="20">
        <v>164</v>
      </c>
      <c r="E26" s="20">
        <v>61</v>
      </c>
      <c r="F26" s="20">
        <v>56</v>
      </c>
      <c r="G26" s="20">
        <v>107</v>
      </c>
      <c r="H26" s="20">
        <v>22</v>
      </c>
      <c r="I26" s="20">
        <v>60</v>
      </c>
      <c r="J26" s="20">
        <v>160</v>
      </c>
      <c r="K26" s="20">
        <v>72</v>
      </c>
      <c r="L26" s="20">
        <v>76</v>
      </c>
      <c r="M26" s="20">
        <v>66</v>
      </c>
      <c r="N26" s="20">
        <v>72</v>
      </c>
      <c r="O26" s="20">
        <v>449</v>
      </c>
      <c r="P26" s="20">
        <v>67</v>
      </c>
      <c r="Q26" s="20">
        <v>251</v>
      </c>
      <c r="R26" s="20">
        <v>41</v>
      </c>
      <c r="S26" s="20">
        <v>311</v>
      </c>
      <c r="T26" s="20">
        <v>59</v>
      </c>
      <c r="U26" s="46">
        <v>57</v>
      </c>
      <c r="V26" s="46">
        <f t="shared" si="0"/>
        <v>-10</v>
      </c>
    </row>
    <row r="27" s="36" customFormat="1" ht="21" customHeight="1" spans="2:22">
      <c r="B27" s="20" t="s">
        <v>48</v>
      </c>
      <c r="C27" s="20">
        <v>96</v>
      </c>
      <c r="D27" s="20">
        <v>73</v>
      </c>
      <c r="E27" s="20">
        <v>67</v>
      </c>
      <c r="F27" s="20">
        <v>42</v>
      </c>
      <c r="G27" s="20">
        <v>69</v>
      </c>
      <c r="H27" s="20">
        <v>118</v>
      </c>
      <c r="I27" s="20">
        <v>68</v>
      </c>
      <c r="J27" s="20">
        <v>94</v>
      </c>
      <c r="K27" s="20">
        <v>77</v>
      </c>
      <c r="L27" s="20">
        <v>41</v>
      </c>
      <c r="M27" s="20">
        <v>77</v>
      </c>
      <c r="N27" s="20">
        <v>33</v>
      </c>
      <c r="O27" s="20">
        <v>454</v>
      </c>
      <c r="P27" s="20">
        <v>56</v>
      </c>
      <c r="Q27" s="20">
        <v>232</v>
      </c>
      <c r="R27" s="20">
        <v>77</v>
      </c>
      <c r="S27" s="20">
        <v>300</v>
      </c>
      <c r="T27" s="20">
        <v>83</v>
      </c>
      <c r="U27" s="46">
        <v>64</v>
      </c>
      <c r="V27" s="46">
        <f t="shared" si="0"/>
        <v>8</v>
      </c>
    </row>
    <row r="28" s="36" customFormat="1" ht="21" customHeight="1" spans="2:22">
      <c r="B28" s="20" t="s">
        <v>49</v>
      </c>
      <c r="C28" s="20">
        <v>93</v>
      </c>
      <c r="D28" s="20">
        <v>91</v>
      </c>
      <c r="E28" s="20">
        <v>51</v>
      </c>
      <c r="F28" s="20">
        <v>88</v>
      </c>
      <c r="G28" s="20">
        <v>90</v>
      </c>
      <c r="H28" s="20">
        <v>55</v>
      </c>
      <c r="I28" s="20">
        <v>76</v>
      </c>
      <c r="J28" s="20">
        <v>32</v>
      </c>
      <c r="K28" s="20">
        <v>70</v>
      </c>
      <c r="L28" s="20">
        <v>99</v>
      </c>
      <c r="M28" s="20">
        <v>74</v>
      </c>
      <c r="N28" s="20">
        <v>43</v>
      </c>
      <c r="O28" s="20">
        <v>454</v>
      </c>
      <c r="P28" s="20">
        <v>56</v>
      </c>
      <c r="Q28" s="20">
        <v>234</v>
      </c>
      <c r="R28" s="20">
        <v>72</v>
      </c>
      <c r="S28" s="20">
        <v>310</v>
      </c>
      <c r="T28" s="20">
        <v>61</v>
      </c>
      <c r="U28" s="46">
        <v>94</v>
      </c>
      <c r="V28" s="46">
        <f t="shared" si="0"/>
        <v>38</v>
      </c>
    </row>
    <row r="29" s="36" customFormat="1" ht="21" customHeight="1" spans="2:22">
      <c r="B29" s="20" t="s">
        <v>50</v>
      </c>
      <c r="C29" s="20">
        <v>97</v>
      </c>
      <c r="D29" s="20">
        <v>64</v>
      </c>
      <c r="E29" s="20">
        <v>57</v>
      </c>
      <c r="F29" s="20">
        <v>70</v>
      </c>
      <c r="G29" s="20">
        <v>75</v>
      </c>
      <c r="H29" s="20">
        <v>106</v>
      </c>
      <c r="I29" s="20">
        <v>71</v>
      </c>
      <c r="J29" s="20">
        <v>63</v>
      </c>
      <c r="K29" s="20">
        <v>77</v>
      </c>
      <c r="L29" s="20">
        <v>41</v>
      </c>
      <c r="M29" s="20">
        <v>82</v>
      </c>
      <c r="N29" s="20">
        <v>16</v>
      </c>
      <c r="O29" s="20">
        <v>459</v>
      </c>
      <c r="P29" s="20">
        <v>51</v>
      </c>
      <c r="Q29" s="20">
        <v>229</v>
      </c>
      <c r="R29" s="20">
        <v>85</v>
      </c>
      <c r="S29" s="20">
        <v>300</v>
      </c>
      <c r="T29" s="20">
        <v>83</v>
      </c>
      <c r="U29" s="46">
        <v>36</v>
      </c>
      <c r="V29" s="46">
        <f t="shared" si="0"/>
        <v>-15</v>
      </c>
    </row>
    <row r="30" s="36" customFormat="1" ht="21" customHeight="1" spans="2:22">
      <c r="B30" s="20" t="s">
        <v>51</v>
      </c>
      <c r="C30" s="20">
        <v>112</v>
      </c>
      <c r="D30" s="20">
        <v>2</v>
      </c>
      <c r="E30" s="20">
        <v>44</v>
      </c>
      <c r="F30" s="20">
        <v>118</v>
      </c>
      <c r="G30" s="20">
        <v>90</v>
      </c>
      <c r="H30" s="20">
        <v>55</v>
      </c>
      <c r="I30" s="20">
        <v>70</v>
      </c>
      <c r="J30" s="20">
        <v>71</v>
      </c>
      <c r="K30" s="20">
        <v>70</v>
      </c>
      <c r="L30" s="20">
        <v>99</v>
      </c>
      <c r="M30" s="20">
        <v>74</v>
      </c>
      <c r="N30" s="20">
        <v>43</v>
      </c>
      <c r="O30" s="20">
        <v>460</v>
      </c>
      <c r="P30" s="20">
        <v>50</v>
      </c>
      <c r="Q30" s="20">
        <v>246</v>
      </c>
      <c r="R30" s="20">
        <v>52</v>
      </c>
      <c r="S30" s="20">
        <v>316</v>
      </c>
      <c r="T30" s="20">
        <v>52</v>
      </c>
      <c r="U30" s="46">
        <v>80</v>
      </c>
      <c r="V30" s="46">
        <f t="shared" si="0"/>
        <v>30</v>
      </c>
    </row>
    <row r="31" s="36" customFormat="1" ht="21" customHeight="1" spans="2:22">
      <c r="B31" s="20" t="s">
        <v>52</v>
      </c>
      <c r="C31" s="20">
        <v>94</v>
      </c>
      <c r="D31" s="20">
        <v>87</v>
      </c>
      <c r="E31" s="20">
        <v>53</v>
      </c>
      <c r="F31" s="20">
        <v>78</v>
      </c>
      <c r="G31" s="20">
        <v>94</v>
      </c>
      <c r="H31" s="20">
        <v>43</v>
      </c>
      <c r="I31" s="20">
        <v>78</v>
      </c>
      <c r="J31" s="20">
        <v>18</v>
      </c>
      <c r="K31" s="20">
        <v>72</v>
      </c>
      <c r="L31" s="20">
        <v>76</v>
      </c>
      <c r="M31" s="20">
        <v>70</v>
      </c>
      <c r="N31" s="20">
        <v>60</v>
      </c>
      <c r="O31" s="20">
        <v>461</v>
      </c>
      <c r="P31" s="20">
        <v>49</v>
      </c>
      <c r="Q31" s="20">
        <v>241</v>
      </c>
      <c r="R31" s="20">
        <v>62</v>
      </c>
      <c r="S31" s="20">
        <v>319</v>
      </c>
      <c r="T31" s="20">
        <v>45</v>
      </c>
      <c r="U31" s="46">
        <v>51</v>
      </c>
      <c r="V31" s="46">
        <f t="shared" si="0"/>
        <v>2</v>
      </c>
    </row>
    <row r="32" s="36" customFormat="1" ht="21" customHeight="1" spans="2:22">
      <c r="B32" s="20" t="s">
        <v>53</v>
      </c>
      <c r="C32" s="20">
        <v>107</v>
      </c>
      <c r="D32" s="20">
        <v>10</v>
      </c>
      <c r="E32" s="20">
        <v>45</v>
      </c>
      <c r="F32" s="20">
        <v>112</v>
      </c>
      <c r="G32" s="20">
        <v>74</v>
      </c>
      <c r="H32" s="20">
        <v>107</v>
      </c>
      <c r="I32" s="20">
        <v>83</v>
      </c>
      <c r="J32" s="20">
        <v>4</v>
      </c>
      <c r="K32" s="20">
        <v>76</v>
      </c>
      <c r="L32" s="20">
        <v>52</v>
      </c>
      <c r="M32" s="20">
        <v>77</v>
      </c>
      <c r="N32" s="20">
        <v>33</v>
      </c>
      <c r="O32" s="20">
        <v>462</v>
      </c>
      <c r="P32" s="20">
        <v>48</v>
      </c>
      <c r="Q32" s="20">
        <v>226</v>
      </c>
      <c r="R32" s="20">
        <v>91</v>
      </c>
      <c r="S32" s="20">
        <v>309</v>
      </c>
      <c r="T32" s="20">
        <v>64</v>
      </c>
      <c r="U32" s="46">
        <v>96</v>
      </c>
      <c r="V32" s="46">
        <f t="shared" si="0"/>
        <v>48</v>
      </c>
    </row>
    <row r="33" s="36" customFormat="1" ht="21" customHeight="1" spans="2:22">
      <c r="B33" s="20" t="s">
        <v>54</v>
      </c>
      <c r="C33" s="20">
        <v>86</v>
      </c>
      <c r="D33" s="20">
        <v>143</v>
      </c>
      <c r="E33" s="20">
        <v>63</v>
      </c>
      <c r="F33" s="20">
        <v>51</v>
      </c>
      <c r="G33" s="20">
        <v>81</v>
      </c>
      <c r="H33" s="20">
        <v>90</v>
      </c>
      <c r="I33" s="20">
        <v>65</v>
      </c>
      <c r="J33" s="20">
        <v>123</v>
      </c>
      <c r="K33" s="20">
        <v>85</v>
      </c>
      <c r="L33" s="20">
        <v>7</v>
      </c>
      <c r="M33" s="20">
        <v>86</v>
      </c>
      <c r="N33" s="20">
        <v>3</v>
      </c>
      <c r="O33" s="20">
        <v>466</v>
      </c>
      <c r="P33" s="20">
        <v>43</v>
      </c>
      <c r="Q33" s="20">
        <v>230</v>
      </c>
      <c r="R33" s="20">
        <v>82</v>
      </c>
      <c r="S33" s="20">
        <v>295</v>
      </c>
      <c r="T33" s="20">
        <v>91</v>
      </c>
      <c r="U33" s="46">
        <v>21</v>
      </c>
      <c r="V33" s="46">
        <f t="shared" si="0"/>
        <v>-22</v>
      </c>
    </row>
    <row r="34" s="36" customFormat="1" ht="21" customHeight="1" spans="2:22">
      <c r="B34" s="20" t="s">
        <v>55</v>
      </c>
      <c r="C34" s="20">
        <v>101</v>
      </c>
      <c r="D34" s="20">
        <v>38</v>
      </c>
      <c r="E34" s="20">
        <v>52</v>
      </c>
      <c r="F34" s="20">
        <v>81</v>
      </c>
      <c r="G34" s="20">
        <v>90</v>
      </c>
      <c r="H34" s="20">
        <v>55</v>
      </c>
      <c r="I34" s="20">
        <v>79</v>
      </c>
      <c r="J34" s="20">
        <v>15</v>
      </c>
      <c r="K34" s="20">
        <v>70</v>
      </c>
      <c r="L34" s="20">
        <v>99</v>
      </c>
      <c r="M34" s="20">
        <v>74</v>
      </c>
      <c r="N34" s="20">
        <v>43</v>
      </c>
      <c r="O34" s="20">
        <v>466</v>
      </c>
      <c r="P34" s="20">
        <v>43</v>
      </c>
      <c r="Q34" s="20">
        <v>243</v>
      </c>
      <c r="R34" s="20">
        <v>57</v>
      </c>
      <c r="S34" s="20">
        <v>322</v>
      </c>
      <c r="T34" s="20">
        <v>41</v>
      </c>
      <c r="U34" s="46">
        <v>37</v>
      </c>
      <c r="V34" s="46">
        <f t="shared" si="0"/>
        <v>-6</v>
      </c>
    </row>
    <row r="35" s="36" customFormat="1" ht="21" customHeight="1" spans="2:22">
      <c r="B35" s="20" t="s">
        <v>56</v>
      </c>
      <c r="C35" s="20">
        <v>91</v>
      </c>
      <c r="D35" s="20">
        <v>109</v>
      </c>
      <c r="E35" s="20">
        <v>47</v>
      </c>
      <c r="F35" s="20">
        <v>106</v>
      </c>
      <c r="G35" s="20">
        <v>113</v>
      </c>
      <c r="H35" s="20">
        <v>8</v>
      </c>
      <c r="I35" s="20">
        <v>67</v>
      </c>
      <c r="J35" s="20">
        <v>107</v>
      </c>
      <c r="K35" s="20">
        <v>85</v>
      </c>
      <c r="L35" s="20">
        <v>7</v>
      </c>
      <c r="M35" s="20">
        <v>66</v>
      </c>
      <c r="N35" s="20">
        <v>72</v>
      </c>
      <c r="O35" s="20">
        <v>469</v>
      </c>
      <c r="P35" s="20">
        <v>38</v>
      </c>
      <c r="Q35" s="20">
        <v>251</v>
      </c>
      <c r="R35" s="20">
        <v>41</v>
      </c>
      <c r="S35" s="20">
        <v>318</v>
      </c>
      <c r="T35" s="20">
        <v>48</v>
      </c>
      <c r="U35" s="46">
        <v>33</v>
      </c>
      <c r="V35" s="46">
        <f t="shared" si="0"/>
        <v>-5</v>
      </c>
    </row>
    <row r="36" s="36" customFormat="1" ht="21" customHeight="1" spans="2:22">
      <c r="B36" s="20" t="s">
        <v>57</v>
      </c>
      <c r="C36" s="20">
        <v>91</v>
      </c>
      <c r="D36" s="20">
        <v>109</v>
      </c>
      <c r="E36" s="20">
        <v>72</v>
      </c>
      <c r="F36" s="20">
        <v>30</v>
      </c>
      <c r="G36" s="20">
        <v>82</v>
      </c>
      <c r="H36" s="20">
        <v>87</v>
      </c>
      <c r="I36" s="20">
        <v>80</v>
      </c>
      <c r="J36" s="20">
        <v>11</v>
      </c>
      <c r="K36" s="20">
        <v>64</v>
      </c>
      <c r="L36" s="20">
        <v>147</v>
      </c>
      <c r="M36" s="20">
        <v>82</v>
      </c>
      <c r="N36" s="20">
        <v>16</v>
      </c>
      <c r="O36" s="20">
        <v>471</v>
      </c>
      <c r="P36" s="20">
        <v>37</v>
      </c>
      <c r="Q36" s="20">
        <v>245</v>
      </c>
      <c r="R36" s="20">
        <v>54</v>
      </c>
      <c r="S36" s="20">
        <v>325</v>
      </c>
      <c r="T36" s="20">
        <v>39</v>
      </c>
      <c r="U36" s="46">
        <v>71</v>
      </c>
      <c r="V36" s="46">
        <f t="shared" si="0"/>
        <v>34</v>
      </c>
    </row>
    <row r="37" s="36" customFormat="1" ht="21" customHeight="1" spans="2:22">
      <c r="B37" s="20" t="s">
        <v>58</v>
      </c>
      <c r="C37" s="20">
        <v>100</v>
      </c>
      <c r="D37" s="20">
        <v>42</v>
      </c>
      <c r="E37" s="20">
        <v>93</v>
      </c>
      <c r="F37" s="20">
        <v>6</v>
      </c>
      <c r="G37" s="20">
        <v>68</v>
      </c>
      <c r="H37" s="20">
        <v>121</v>
      </c>
      <c r="I37" s="20">
        <v>69</v>
      </c>
      <c r="J37" s="20">
        <v>83</v>
      </c>
      <c r="K37" s="20">
        <v>72</v>
      </c>
      <c r="L37" s="20">
        <v>76</v>
      </c>
      <c r="M37" s="20">
        <v>70</v>
      </c>
      <c r="N37" s="20">
        <v>60</v>
      </c>
      <c r="O37" s="20">
        <v>472</v>
      </c>
      <c r="P37" s="20">
        <v>36</v>
      </c>
      <c r="Q37" s="20">
        <v>261</v>
      </c>
      <c r="R37" s="20">
        <v>25</v>
      </c>
      <c r="S37" s="20">
        <v>330</v>
      </c>
      <c r="T37" s="20">
        <v>28</v>
      </c>
      <c r="U37" s="46">
        <v>65</v>
      </c>
      <c r="V37" s="46">
        <f t="shared" si="0"/>
        <v>29</v>
      </c>
    </row>
    <row r="38" s="36" customFormat="1" ht="21" customHeight="1" spans="2:22">
      <c r="B38" s="20" t="s">
        <v>59</v>
      </c>
      <c r="C38" s="20">
        <v>99</v>
      </c>
      <c r="D38" s="20">
        <v>48</v>
      </c>
      <c r="E38" s="20">
        <v>37</v>
      </c>
      <c r="F38" s="20">
        <v>141</v>
      </c>
      <c r="G38" s="20">
        <v>111</v>
      </c>
      <c r="H38" s="20">
        <v>14</v>
      </c>
      <c r="I38" s="20">
        <v>78</v>
      </c>
      <c r="J38" s="20">
        <v>18</v>
      </c>
      <c r="K38" s="20">
        <v>77</v>
      </c>
      <c r="L38" s="20">
        <v>41</v>
      </c>
      <c r="M38" s="20">
        <v>77</v>
      </c>
      <c r="N38" s="20">
        <v>33</v>
      </c>
      <c r="O38" s="20">
        <v>479</v>
      </c>
      <c r="P38" s="20">
        <v>32</v>
      </c>
      <c r="Q38" s="20">
        <v>247</v>
      </c>
      <c r="R38" s="20">
        <v>49</v>
      </c>
      <c r="S38" s="20">
        <v>325</v>
      </c>
      <c r="T38" s="20">
        <v>39</v>
      </c>
      <c r="U38" s="46">
        <v>7</v>
      </c>
      <c r="V38" s="46">
        <f t="shared" si="0"/>
        <v>-25</v>
      </c>
    </row>
    <row r="39" s="36" customFormat="1" ht="21" customHeight="1" spans="2:22">
      <c r="B39" s="20" t="s">
        <v>60</v>
      </c>
      <c r="C39" s="20">
        <v>92</v>
      </c>
      <c r="D39" s="20">
        <v>99</v>
      </c>
      <c r="E39" s="20">
        <v>39</v>
      </c>
      <c r="F39" s="20">
        <v>135</v>
      </c>
      <c r="G39" s="20">
        <v>117</v>
      </c>
      <c r="H39" s="20">
        <v>7</v>
      </c>
      <c r="I39" s="20">
        <v>71</v>
      </c>
      <c r="J39" s="20">
        <v>63</v>
      </c>
      <c r="K39" s="20">
        <v>84</v>
      </c>
      <c r="L39" s="20">
        <v>14</v>
      </c>
      <c r="M39" s="20">
        <v>79</v>
      </c>
      <c r="N39" s="20">
        <v>25</v>
      </c>
      <c r="O39" s="20">
        <v>482</v>
      </c>
      <c r="P39" s="20">
        <v>30</v>
      </c>
      <c r="Q39" s="20">
        <v>248</v>
      </c>
      <c r="R39" s="20">
        <v>46</v>
      </c>
      <c r="S39" s="20">
        <v>319</v>
      </c>
      <c r="T39" s="20">
        <v>45</v>
      </c>
      <c r="U39" s="46">
        <v>12</v>
      </c>
      <c r="V39" s="46">
        <f t="shared" si="0"/>
        <v>-18</v>
      </c>
    </row>
    <row r="40" s="36" customFormat="1" ht="21" customHeight="1" spans="2:22">
      <c r="B40" s="20" t="s">
        <v>61</v>
      </c>
      <c r="C40" s="20">
        <v>97</v>
      </c>
      <c r="D40" s="20">
        <v>64</v>
      </c>
      <c r="E40" s="20">
        <v>73</v>
      </c>
      <c r="F40" s="20">
        <v>28</v>
      </c>
      <c r="G40" s="20">
        <v>101</v>
      </c>
      <c r="H40" s="20">
        <v>30</v>
      </c>
      <c r="I40" s="20">
        <v>68</v>
      </c>
      <c r="J40" s="20">
        <v>94</v>
      </c>
      <c r="K40" s="20">
        <v>76</v>
      </c>
      <c r="L40" s="20">
        <v>52</v>
      </c>
      <c r="M40" s="20">
        <v>71</v>
      </c>
      <c r="N40" s="20">
        <v>53</v>
      </c>
      <c r="O40" s="20">
        <v>486</v>
      </c>
      <c r="P40" s="20">
        <v>28</v>
      </c>
      <c r="Q40" s="20">
        <v>271</v>
      </c>
      <c r="R40" s="20">
        <v>15</v>
      </c>
      <c r="S40" s="20">
        <v>339</v>
      </c>
      <c r="T40" s="20">
        <v>19</v>
      </c>
      <c r="U40" s="46">
        <v>60</v>
      </c>
      <c r="V40" s="46">
        <f t="shared" si="0"/>
        <v>32</v>
      </c>
    </row>
    <row r="41" s="36" customFormat="1" ht="21" customHeight="1" spans="2:22">
      <c r="B41" s="20" t="s">
        <v>62</v>
      </c>
      <c r="C41" s="20">
        <v>99</v>
      </c>
      <c r="D41" s="20">
        <v>48</v>
      </c>
      <c r="E41" s="20">
        <v>58</v>
      </c>
      <c r="F41" s="20">
        <v>65</v>
      </c>
      <c r="G41" s="20">
        <v>118</v>
      </c>
      <c r="H41" s="20">
        <v>4</v>
      </c>
      <c r="I41" s="20">
        <v>68</v>
      </c>
      <c r="J41" s="20">
        <v>94</v>
      </c>
      <c r="K41" s="20">
        <v>71</v>
      </c>
      <c r="L41" s="20">
        <v>87</v>
      </c>
      <c r="M41" s="20">
        <v>74</v>
      </c>
      <c r="N41" s="20">
        <v>43</v>
      </c>
      <c r="O41" s="20">
        <v>488</v>
      </c>
      <c r="P41" s="20">
        <v>26</v>
      </c>
      <c r="Q41" s="20">
        <v>275</v>
      </c>
      <c r="R41" s="20">
        <v>13</v>
      </c>
      <c r="S41" s="20">
        <v>343</v>
      </c>
      <c r="T41" s="20">
        <v>13</v>
      </c>
      <c r="U41" s="46">
        <v>27</v>
      </c>
      <c r="V41" s="46">
        <f t="shared" si="0"/>
        <v>1</v>
      </c>
    </row>
    <row r="42" s="36" customFormat="1" ht="21" customHeight="1" spans="2:22">
      <c r="B42" s="20" t="s">
        <v>63</v>
      </c>
      <c r="C42" s="20">
        <v>100</v>
      </c>
      <c r="D42" s="20">
        <v>42</v>
      </c>
      <c r="E42" s="20">
        <v>80</v>
      </c>
      <c r="F42" s="20">
        <v>20</v>
      </c>
      <c r="G42" s="20">
        <v>74</v>
      </c>
      <c r="H42" s="20">
        <v>107</v>
      </c>
      <c r="I42" s="20">
        <v>74</v>
      </c>
      <c r="J42" s="20">
        <v>43</v>
      </c>
      <c r="K42" s="20">
        <v>76</v>
      </c>
      <c r="L42" s="20">
        <v>52</v>
      </c>
      <c r="M42" s="20">
        <v>85</v>
      </c>
      <c r="N42" s="20">
        <v>8</v>
      </c>
      <c r="O42" s="20">
        <v>489</v>
      </c>
      <c r="P42" s="20">
        <v>24</v>
      </c>
      <c r="Q42" s="20">
        <v>254</v>
      </c>
      <c r="R42" s="20">
        <v>38</v>
      </c>
      <c r="S42" s="20">
        <v>328</v>
      </c>
      <c r="T42" s="20">
        <v>34</v>
      </c>
      <c r="U42" s="46">
        <v>97</v>
      </c>
      <c r="V42" s="46">
        <f t="shared" si="0"/>
        <v>73</v>
      </c>
    </row>
    <row r="43" s="36" customFormat="1" ht="21" customHeight="1" spans="2:22">
      <c r="B43" s="20" t="s">
        <v>64</v>
      </c>
      <c r="C43" s="20">
        <v>86</v>
      </c>
      <c r="D43" s="20">
        <v>143</v>
      </c>
      <c r="E43" s="20">
        <v>41</v>
      </c>
      <c r="F43" s="20">
        <v>129</v>
      </c>
      <c r="G43" s="20">
        <v>118</v>
      </c>
      <c r="H43" s="20">
        <v>4</v>
      </c>
      <c r="I43" s="20">
        <v>81</v>
      </c>
      <c r="J43" s="20">
        <v>8</v>
      </c>
      <c r="K43" s="20">
        <v>80</v>
      </c>
      <c r="L43" s="20">
        <v>28</v>
      </c>
      <c r="M43" s="20">
        <v>85</v>
      </c>
      <c r="N43" s="20">
        <v>8</v>
      </c>
      <c r="O43" s="20">
        <v>491</v>
      </c>
      <c r="P43" s="20">
        <v>21</v>
      </c>
      <c r="Q43" s="20">
        <v>245</v>
      </c>
      <c r="R43" s="20">
        <v>54</v>
      </c>
      <c r="S43" s="20">
        <v>326</v>
      </c>
      <c r="T43" s="20">
        <v>38</v>
      </c>
      <c r="U43" s="46">
        <v>19</v>
      </c>
      <c r="V43" s="46">
        <f t="shared" si="0"/>
        <v>-2</v>
      </c>
    </row>
    <row r="44" s="36" customFormat="1" ht="21" customHeight="1" spans="2:22">
      <c r="B44" s="20" t="s">
        <v>65</v>
      </c>
      <c r="C44" s="20">
        <v>105</v>
      </c>
      <c r="D44" s="20">
        <v>17</v>
      </c>
      <c r="E44" s="20">
        <v>54</v>
      </c>
      <c r="F44" s="20">
        <v>76</v>
      </c>
      <c r="G44" s="20">
        <v>97</v>
      </c>
      <c r="H44" s="20">
        <v>34</v>
      </c>
      <c r="I44" s="20">
        <v>78</v>
      </c>
      <c r="J44" s="20">
        <v>18</v>
      </c>
      <c r="K44" s="20">
        <v>75</v>
      </c>
      <c r="L44" s="20">
        <v>63</v>
      </c>
      <c r="M44" s="20">
        <v>82</v>
      </c>
      <c r="N44" s="20">
        <v>16</v>
      </c>
      <c r="O44" s="20">
        <v>491</v>
      </c>
      <c r="P44" s="20">
        <v>21</v>
      </c>
      <c r="Q44" s="20">
        <v>256</v>
      </c>
      <c r="R44" s="20">
        <v>34</v>
      </c>
      <c r="S44" s="20">
        <v>334</v>
      </c>
      <c r="T44" s="20">
        <v>25</v>
      </c>
      <c r="U44" s="46">
        <v>34</v>
      </c>
      <c r="V44" s="46">
        <f t="shared" si="0"/>
        <v>13</v>
      </c>
    </row>
    <row r="45" s="36" customFormat="1" ht="21" customHeight="1" spans="2:22">
      <c r="B45" s="20" t="s">
        <v>66</v>
      </c>
      <c r="C45" s="20">
        <v>86</v>
      </c>
      <c r="D45" s="20">
        <v>143</v>
      </c>
      <c r="E45" s="20">
        <v>60</v>
      </c>
      <c r="F45" s="20">
        <v>58</v>
      </c>
      <c r="G45" s="20">
        <v>119</v>
      </c>
      <c r="H45" s="20">
        <v>2</v>
      </c>
      <c r="I45" s="20">
        <v>78</v>
      </c>
      <c r="J45" s="20">
        <v>18</v>
      </c>
      <c r="K45" s="20">
        <v>59</v>
      </c>
      <c r="L45" s="20">
        <v>168</v>
      </c>
      <c r="M45" s="20">
        <v>90</v>
      </c>
      <c r="N45" s="20">
        <v>2</v>
      </c>
      <c r="O45" s="20">
        <v>492</v>
      </c>
      <c r="P45" s="20">
        <v>19</v>
      </c>
      <c r="Q45" s="20">
        <v>265</v>
      </c>
      <c r="R45" s="20">
        <v>21</v>
      </c>
      <c r="S45" s="20">
        <v>343</v>
      </c>
      <c r="T45" s="20">
        <v>13</v>
      </c>
      <c r="U45" s="46">
        <v>14</v>
      </c>
      <c r="V45" s="46">
        <f t="shared" si="0"/>
        <v>-5</v>
      </c>
    </row>
    <row r="46" s="36" customFormat="1" ht="21" customHeight="1" spans="2:22">
      <c r="B46" s="20" t="s">
        <v>67</v>
      </c>
      <c r="C46" s="20">
        <v>95</v>
      </c>
      <c r="D46" s="20">
        <v>81</v>
      </c>
      <c r="E46" s="20">
        <v>91</v>
      </c>
      <c r="F46" s="20">
        <v>8</v>
      </c>
      <c r="G46" s="20">
        <v>92</v>
      </c>
      <c r="H46" s="20">
        <v>49</v>
      </c>
      <c r="I46" s="20">
        <v>65</v>
      </c>
      <c r="J46" s="20">
        <v>123</v>
      </c>
      <c r="K46" s="20">
        <v>70</v>
      </c>
      <c r="L46" s="20">
        <v>99</v>
      </c>
      <c r="M46" s="20">
        <v>79</v>
      </c>
      <c r="N46" s="20">
        <v>25</v>
      </c>
      <c r="O46" s="20">
        <v>492</v>
      </c>
      <c r="P46" s="20">
        <v>19</v>
      </c>
      <c r="Q46" s="20">
        <v>278</v>
      </c>
      <c r="R46" s="20">
        <v>9</v>
      </c>
      <c r="S46" s="20">
        <v>343</v>
      </c>
      <c r="T46" s="20">
        <v>13</v>
      </c>
      <c r="U46" s="46">
        <v>18</v>
      </c>
      <c r="V46" s="46">
        <f t="shared" si="0"/>
        <v>-1</v>
      </c>
    </row>
    <row r="47" s="36" customFormat="1" ht="21" customHeight="1" spans="2:22">
      <c r="B47" s="20" t="s">
        <v>68</v>
      </c>
      <c r="C47" s="20">
        <v>99</v>
      </c>
      <c r="D47" s="20">
        <v>48</v>
      </c>
      <c r="E47" s="20">
        <v>83</v>
      </c>
      <c r="F47" s="20">
        <v>16</v>
      </c>
      <c r="G47" s="20">
        <v>82</v>
      </c>
      <c r="H47" s="20">
        <v>87</v>
      </c>
      <c r="I47" s="20">
        <v>78</v>
      </c>
      <c r="J47" s="20">
        <v>18</v>
      </c>
      <c r="K47" s="20">
        <v>80</v>
      </c>
      <c r="L47" s="20">
        <v>28</v>
      </c>
      <c r="M47" s="20">
        <v>71</v>
      </c>
      <c r="N47" s="20">
        <v>53</v>
      </c>
      <c r="O47" s="20">
        <v>493</v>
      </c>
      <c r="P47" s="20">
        <v>18</v>
      </c>
      <c r="Q47" s="20">
        <v>264</v>
      </c>
      <c r="R47" s="20">
        <v>22</v>
      </c>
      <c r="S47" s="20">
        <v>342</v>
      </c>
      <c r="T47" s="20">
        <v>16</v>
      </c>
      <c r="U47" s="46">
        <v>77</v>
      </c>
      <c r="V47" s="46">
        <f t="shared" si="0"/>
        <v>59</v>
      </c>
    </row>
    <row r="48" s="36" customFormat="1" ht="21" customHeight="1" spans="2:22">
      <c r="B48" s="20" t="s">
        <v>69</v>
      </c>
      <c r="C48" s="20">
        <v>86</v>
      </c>
      <c r="D48" s="20">
        <v>143</v>
      </c>
      <c r="E48" s="20">
        <v>85</v>
      </c>
      <c r="F48" s="20">
        <v>14</v>
      </c>
      <c r="G48" s="20">
        <v>85</v>
      </c>
      <c r="H48" s="20">
        <v>77</v>
      </c>
      <c r="I48" s="20">
        <v>74</v>
      </c>
      <c r="J48" s="20">
        <v>43</v>
      </c>
      <c r="K48" s="20">
        <v>88</v>
      </c>
      <c r="L48" s="20">
        <v>2</v>
      </c>
      <c r="M48" s="20">
        <v>77</v>
      </c>
      <c r="N48" s="20">
        <v>33</v>
      </c>
      <c r="O48" s="20">
        <v>495</v>
      </c>
      <c r="P48" s="20">
        <v>16</v>
      </c>
      <c r="Q48" s="20">
        <v>256</v>
      </c>
      <c r="R48" s="20">
        <v>34</v>
      </c>
      <c r="S48" s="20">
        <v>330</v>
      </c>
      <c r="T48" s="20">
        <v>28</v>
      </c>
      <c r="U48" s="46">
        <v>6</v>
      </c>
      <c r="V48" s="46">
        <f t="shared" si="0"/>
        <v>-10</v>
      </c>
    </row>
    <row r="49" s="36" customFormat="1" ht="21" customHeight="1" spans="2:22">
      <c r="B49" s="20" t="s">
        <v>70</v>
      </c>
      <c r="C49" s="20">
        <v>91</v>
      </c>
      <c r="D49" s="20">
        <v>109</v>
      </c>
      <c r="E49" s="20">
        <v>43</v>
      </c>
      <c r="F49" s="20">
        <v>122</v>
      </c>
      <c r="G49" s="20">
        <v>119</v>
      </c>
      <c r="H49" s="20">
        <v>2</v>
      </c>
      <c r="I49" s="20">
        <v>74</v>
      </c>
      <c r="J49" s="20">
        <v>43</v>
      </c>
      <c r="K49" s="20">
        <v>88</v>
      </c>
      <c r="L49" s="20">
        <v>2</v>
      </c>
      <c r="M49" s="20">
        <v>82</v>
      </c>
      <c r="N49" s="20">
        <v>16</v>
      </c>
      <c r="O49" s="20">
        <v>497</v>
      </c>
      <c r="P49" s="20">
        <v>13</v>
      </c>
      <c r="Q49" s="20">
        <v>253</v>
      </c>
      <c r="R49" s="20">
        <v>40</v>
      </c>
      <c r="S49" s="20">
        <v>327</v>
      </c>
      <c r="T49" s="20">
        <v>35</v>
      </c>
      <c r="U49" s="46">
        <v>15</v>
      </c>
      <c r="V49" s="46">
        <f t="shared" si="0"/>
        <v>2</v>
      </c>
    </row>
    <row r="50" s="36" customFormat="1" ht="21" customHeight="1" spans="2:22">
      <c r="B50" s="20" t="s">
        <v>71</v>
      </c>
      <c r="C50" s="20">
        <v>112</v>
      </c>
      <c r="D50" s="20">
        <v>2</v>
      </c>
      <c r="E50" s="20">
        <v>52</v>
      </c>
      <c r="F50" s="20">
        <v>81</v>
      </c>
      <c r="G50" s="20">
        <v>105</v>
      </c>
      <c r="H50" s="20">
        <v>7</v>
      </c>
      <c r="I50" s="20">
        <v>75</v>
      </c>
      <c r="J50" s="20">
        <v>38</v>
      </c>
      <c r="K50" s="20">
        <v>70</v>
      </c>
      <c r="L50" s="20">
        <v>99</v>
      </c>
      <c r="M50" s="20">
        <v>83</v>
      </c>
      <c r="N50" s="20">
        <v>12</v>
      </c>
      <c r="O50" s="20">
        <v>497</v>
      </c>
      <c r="P50" s="20">
        <v>13</v>
      </c>
      <c r="Q50" s="20">
        <v>269</v>
      </c>
      <c r="R50" s="20">
        <v>18</v>
      </c>
      <c r="S50" s="20">
        <v>344</v>
      </c>
      <c r="T50" s="20">
        <v>12</v>
      </c>
      <c r="U50" s="46">
        <v>35</v>
      </c>
      <c r="V50" s="46">
        <f t="shared" si="0"/>
        <v>22</v>
      </c>
    </row>
    <row r="51" s="36" customFormat="1" ht="21" customHeight="1" spans="2:22">
      <c r="B51" s="20" t="s">
        <v>72</v>
      </c>
      <c r="C51" s="20">
        <v>100</v>
      </c>
      <c r="D51" s="20">
        <v>42</v>
      </c>
      <c r="E51" s="20">
        <v>69</v>
      </c>
      <c r="F51" s="20">
        <v>38</v>
      </c>
      <c r="G51" s="20">
        <v>88</v>
      </c>
      <c r="H51" s="20">
        <v>69</v>
      </c>
      <c r="I51" s="20">
        <v>73</v>
      </c>
      <c r="J51" s="20">
        <v>48</v>
      </c>
      <c r="K51" s="20">
        <v>84</v>
      </c>
      <c r="L51" s="20">
        <v>14</v>
      </c>
      <c r="M51" s="20">
        <v>83</v>
      </c>
      <c r="N51" s="20">
        <v>12</v>
      </c>
      <c r="O51" s="20">
        <v>497</v>
      </c>
      <c r="P51" s="20">
        <v>13</v>
      </c>
      <c r="Q51" s="20">
        <v>257</v>
      </c>
      <c r="R51" s="20">
        <v>31</v>
      </c>
      <c r="S51" s="20">
        <v>330</v>
      </c>
      <c r="T51" s="20">
        <v>28</v>
      </c>
      <c r="U51" s="46">
        <v>46</v>
      </c>
      <c r="V51" s="46">
        <f t="shared" si="0"/>
        <v>33</v>
      </c>
    </row>
    <row r="52" s="36" customFormat="1" ht="21" customHeight="1" spans="2:22">
      <c r="B52" s="20" t="s">
        <v>73</v>
      </c>
      <c r="C52" s="20">
        <v>95</v>
      </c>
      <c r="D52" s="20">
        <v>81</v>
      </c>
      <c r="E52" s="20">
        <v>104</v>
      </c>
      <c r="F52" s="20">
        <v>2</v>
      </c>
      <c r="G52" s="20">
        <v>60</v>
      </c>
      <c r="H52" s="20">
        <v>145</v>
      </c>
      <c r="I52" s="20">
        <v>78</v>
      </c>
      <c r="J52" s="20">
        <v>18</v>
      </c>
      <c r="K52" s="20">
        <v>78</v>
      </c>
      <c r="L52" s="20">
        <v>39</v>
      </c>
      <c r="M52" s="20">
        <v>86</v>
      </c>
      <c r="N52" s="20">
        <v>3</v>
      </c>
      <c r="O52" s="20">
        <v>501</v>
      </c>
      <c r="P52" s="20">
        <v>11</v>
      </c>
      <c r="Q52" s="20">
        <v>259</v>
      </c>
      <c r="R52" s="20">
        <v>28</v>
      </c>
      <c r="S52" s="20">
        <v>337</v>
      </c>
      <c r="T52" s="20">
        <v>22</v>
      </c>
      <c r="U52" s="46">
        <v>49</v>
      </c>
      <c r="V52" s="46">
        <f t="shared" si="0"/>
        <v>38</v>
      </c>
    </row>
    <row r="53" ht="18" customHeight="1" spans="2:22">
      <c r="B53" s="20" t="s">
        <v>74</v>
      </c>
      <c r="C53" s="20">
        <v>107</v>
      </c>
      <c r="D53" s="20">
        <v>10</v>
      </c>
      <c r="E53" s="20">
        <v>94</v>
      </c>
      <c r="F53" s="20">
        <v>5</v>
      </c>
      <c r="G53" s="20">
        <v>92</v>
      </c>
      <c r="H53" s="20">
        <v>49</v>
      </c>
      <c r="I53" s="20">
        <v>63</v>
      </c>
      <c r="J53" s="20">
        <v>139</v>
      </c>
      <c r="K53" s="20">
        <v>76</v>
      </c>
      <c r="L53" s="20">
        <v>52</v>
      </c>
      <c r="M53" s="20">
        <v>79</v>
      </c>
      <c r="N53" s="20">
        <v>25</v>
      </c>
      <c r="O53" s="20">
        <v>511</v>
      </c>
      <c r="P53" s="20">
        <v>7</v>
      </c>
      <c r="Q53" s="20">
        <v>293</v>
      </c>
      <c r="R53" s="20">
        <v>3</v>
      </c>
      <c r="S53" s="20">
        <v>356</v>
      </c>
      <c r="T53" s="20">
        <v>7</v>
      </c>
      <c r="U53" s="46">
        <v>16</v>
      </c>
      <c r="V53" s="46">
        <f t="shared" si="0"/>
        <v>9</v>
      </c>
    </row>
    <row r="54" ht="18" customHeight="1" spans="2:22">
      <c r="B54" s="20" t="s">
        <v>75</v>
      </c>
      <c r="C54" s="20">
        <v>102</v>
      </c>
      <c r="D54" s="20">
        <v>32</v>
      </c>
      <c r="E54" s="20">
        <v>71</v>
      </c>
      <c r="F54" s="20">
        <v>31</v>
      </c>
      <c r="G54" s="20">
        <v>111</v>
      </c>
      <c r="H54" s="20">
        <v>14</v>
      </c>
      <c r="I54" s="20">
        <v>73</v>
      </c>
      <c r="J54" s="20">
        <v>48</v>
      </c>
      <c r="K54" s="20">
        <v>82</v>
      </c>
      <c r="L54" s="20">
        <v>21</v>
      </c>
      <c r="M54" s="20">
        <v>79</v>
      </c>
      <c r="N54" s="20">
        <v>25</v>
      </c>
      <c r="O54" s="20">
        <v>518</v>
      </c>
      <c r="P54" s="20">
        <v>5</v>
      </c>
      <c r="Q54" s="20">
        <v>284</v>
      </c>
      <c r="R54" s="20">
        <v>7</v>
      </c>
      <c r="S54" s="20">
        <v>357</v>
      </c>
      <c r="T54" s="20">
        <v>6</v>
      </c>
      <c r="U54" s="46">
        <v>10</v>
      </c>
      <c r="V54" s="46">
        <f t="shared" si="0"/>
        <v>5</v>
      </c>
    </row>
    <row r="55" ht="18" customHeight="1" spans="2:22">
      <c r="B55" s="20" t="s">
        <v>76</v>
      </c>
      <c r="C55" s="20">
        <v>114</v>
      </c>
      <c r="D55" s="20">
        <v>1</v>
      </c>
      <c r="E55" s="20">
        <v>88</v>
      </c>
      <c r="F55" s="20">
        <v>10</v>
      </c>
      <c r="G55" s="20">
        <v>85</v>
      </c>
      <c r="H55" s="20">
        <v>77</v>
      </c>
      <c r="I55" s="20">
        <v>80</v>
      </c>
      <c r="J55" s="20">
        <v>11</v>
      </c>
      <c r="K55" s="20">
        <v>90</v>
      </c>
      <c r="L55" s="20">
        <v>1</v>
      </c>
      <c r="M55" s="20">
        <v>77</v>
      </c>
      <c r="N55" s="20">
        <v>33</v>
      </c>
      <c r="O55" s="20">
        <v>534</v>
      </c>
      <c r="P55" s="20">
        <v>4</v>
      </c>
      <c r="Q55" s="20">
        <v>287</v>
      </c>
      <c r="R55" s="20">
        <v>6</v>
      </c>
      <c r="S55" s="20">
        <v>367</v>
      </c>
      <c r="T55" s="20">
        <v>5</v>
      </c>
      <c r="U55" s="46">
        <v>13</v>
      </c>
      <c r="V55" s="46">
        <f t="shared" si="0"/>
        <v>9</v>
      </c>
    </row>
    <row r="56" ht="18" customHeight="1" spans="2:22">
      <c r="B56" s="20" t="s">
        <v>77</v>
      </c>
      <c r="C56" s="20">
        <v>109</v>
      </c>
      <c r="D56" s="20">
        <v>8</v>
      </c>
      <c r="E56" s="20">
        <v>65</v>
      </c>
      <c r="F56" s="20">
        <v>47</v>
      </c>
      <c r="G56" s="20">
        <v>118</v>
      </c>
      <c r="H56" s="20">
        <v>4</v>
      </c>
      <c r="I56" s="20">
        <v>78</v>
      </c>
      <c r="J56" s="20">
        <v>18</v>
      </c>
      <c r="K56" s="20">
        <v>83</v>
      </c>
      <c r="L56" s="20">
        <v>19</v>
      </c>
      <c r="M56" s="20">
        <v>82</v>
      </c>
      <c r="N56" s="20">
        <v>16</v>
      </c>
      <c r="O56" s="20">
        <v>535</v>
      </c>
      <c r="P56" s="20">
        <v>3</v>
      </c>
      <c r="Q56" s="20">
        <v>292</v>
      </c>
      <c r="R56" s="20">
        <v>5</v>
      </c>
      <c r="S56" s="20">
        <v>370</v>
      </c>
      <c r="T56" s="20">
        <v>4</v>
      </c>
      <c r="U56" s="46">
        <v>4</v>
      </c>
      <c r="V56" s="46">
        <f t="shared" si="0"/>
        <v>1</v>
      </c>
    </row>
    <row r="57" ht="18" customHeight="1" spans="2:22">
      <c r="B57" s="20" t="s">
        <v>78</v>
      </c>
      <c r="C57" s="20">
        <v>105</v>
      </c>
      <c r="D57" s="20">
        <v>17</v>
      </c>
      <c r="E57" s="20">
        <v>87</v>
      </c>
      <c r="F57" s="20">
        <v>11</v>
      </c>
      <c r="G57" s="20">
        <v>112</v>
      </c>
      <c r="H57" s="20">
        <v>11</v>
      </c>
      <c r="I57" s="20">
        <v>68</v>
      </c>
      <c r="J57" s="20">
        <v>94</v>
      </c>
      <c r="K57" s="20">
        <v>80</v>
      </c>
      <c r="L57" s="20">
        <v>28</v>
      </c>
      <c r="M57" s="20">
        <v>86</v>
      </c>
      <c r="N57" s="20">
        <v>3</v>
      </c>
      <c r="O57" s="20">
        <v>538</v>
      </c>
      <c r="P57" s="20">
        <v>2</v>
      </c>
      <c r="Q57" s="20">
        <v>304</v>
      </c>
      <c r="R57" s="20">
        <v>2</v>
      </c>
      <c r="S57" s="20">
        <v>372</v>
      </c>
      <c r="T57" s="20">
        <v>3</v>
      </c>
      <c r="U57" s="46">
        <v>5</v>
      </c>
      <c r="V57" s="46">
        <f t="shared" si="0"/>
        <v>3</v>
      </c>
    </row>
    <row r="58" ht="18" customHeight="1" spans="2:22">
      <c r="B58" s="20" t="s">
        <v>79</v>
      </c>
      <c r="C58" s="20">
        <v>104</v>
      </c>
      <c r="D58" s="20">
        <v>19</v>
      </c>
      <c r="E58" s="20">
        <v>106</v>
      </c>
      <c r="F58" s="20">
        <v>1</v>
      </c>
      <c r="G58" s="20">
        <v>97</v>
      </c>
      <c r="H58" s="20">
        <v>34</v>
      </c>
      <c r="I58" s="20">
        <v>83</v>
      </c>
      <c r="J58" s="20">
        <v>4</v>
      </c>
      <c r="K58" s="20">
        <v>84</v>
      </c>
      <c r="L58" s="20">
        <v>12</v>
      </c>
      <c r="M58" s="20">
        <v>82</v>
      </c>
      <c r="N58" s="20">
        <v>16</v>
      </c>
      <c r="O58" s="20">
        <v>556</v>
      </c>
      <c r="P58" s="20">
        <v>1</v>
      </c>
      <c r="Q58" s="20">
        <v>307</v>
      </c>
      <c r="R58" s="20">
        <v>1</v>
      </c>
      <c r="S58" s="20">
        <v>390</v>
      </c>
      <c r="T58" s="20">
        <v>1</v>
      </c>
      <c r="U58" s="46">
        <v>2</v>
      </c>
      <c r="V58" s="46">
        <f t="shared" si="0"/>
        <v>1</v>
      </c>
    </row>
    <row r="59" spans="2:22"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7"/>
      <c r="V59" s="47"/>
    </row>
    <row r="60" spans="21:22">
      <c r="U60"/>
      <c r="V60"/>
    </row>
  </sheetData>
  <mergeCells count="1">
    <mergeCell ref="B1:V1"/>
  </mergeCells>
  <pageMargins left="0.708333333333333" right="0.236111111111111" top="0.354166666666667" bottom="0.275" header="0.393055555555556" footer="0.236111111111111"/>
  <pageSetup paperSize="9" scale="84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8"/>
  <sheetViews>
    <sheetView workbookViewId="0">
      <selection activeCell="J3" sqref="J3:K58"/>
    </sheetView>
  </sheetViews>
  <sheetFormatPr defaultColWidth="8.725" defaultRowHeight="13.5"/>
  <sheetData>
    <row r="1" spans="1:37">
      <c r="A1" s="29" t="s">
        <v>80</v>
      </c>
      <c r="B1" s="29" t="s">
        <v>81</v>
      </c>
      <c r="C1" s="29" t="s">
        <v>1</v>
      </c>
      <c r="D1" s="16" t="s">
        <v>82</v>
      </c>
      <c r="E1" s="17"/>
      <c r="F1" s="30"/>
      <c r="G1" s="16" t="s">
        <v>83</v>
      </c>
      <c r="H1" s="17"/>
      <c r="I1" s="30"/>
      <c r="J1" s="16" t="s">
        <v>84</v>
      </c>
      <c r="K1" s="17"/>
      <c r="L1" s="30"/>
      <c r="M1" s="16" t="s">
        <v>85</v>
      </c>
      <c r="N1" s="17"/>
      <c r="O1" s="30"/>
      <c r="P1" s="16" t="s">
        <v>86</v>
      </c>
      <c r="Q1" s="17"/>
      <c r="R1" s="30"/>
      <c r="S1" s="16" t="s">
        <v>87</v>
      </c>
      <c r="T1" s="17"/>
      <c r="U1" s="30"/>
      <c r="V1" s="16" t="s">
        <v>88</v>
      </c>
      <c r="W1" s="17"/>
      <c r="X1" s="30"/>
      <c r="Y1" s="16" t="s">
        <v>89</v>
      </c>
      <c r="Z1" s="17"/>
      <c r="AA1" s="30"/>
      <c r="AB1" s="16" t="s">
        <v>90</v>
      </c>
      <c r="AC1" s="17"/>
      <c r="AD1" s="17"/>
      <c r="AE1" s="17"/>
      <c r="AF1" s="30"/>
      <c r="AG1" s="16" t="s">
        <v>91</v>
      </c>
      <c r="AH1" s="17"/>
      <c r="AI1" s="17"/>
      <c r="AJ1" s="17"/>
      <c r="AK1" s="30"/>
    </row>
    <row r="2" spans="1:37">
      <c r="A2" s="31"/>
      <c r="B2" s="31"/>
      <c r="C2" s="31"/>
      <c r="D2" s="16" t="s">
        <v>92</v>
      </c>
      <c r="E2" s="16" t="s">
        <v>93</v>
      </c>
      <c r="F2" s="16" t="s">
        <v>94</v>
      </c>
      <c r="G2" s="16" t="s">
        <v>92</v>
      </c>
      <c r="H2" s="16" t="s">
        <v>93</v>
      </c>
      <c r="I2" s="16" t="s">
        <v>94</v>
      </c>
      <c r="J2" s="16" t="s">
        <v>92</v>
      </c>
      <c r="K2" s="16" t="s">
        <v>93</v>
      </c>
      <c r="L2" s="16" t="s">
        <v>94</v>
      </c>
      <c r="M2" s="16" t="s">
        <v>92</v>
      </c>
      <c r="N2" s="16" t="s">
        <v>93</v>
      </c>
      <c r="O2" s="16" t="s">
        <v>94</v>
      </c>
      <c r="P2" s="16" t="s">
        <v>92</v>
      </c>
      <c r="Q2" s="16" t="s">
        <v>93</v>
      </c>
      <c r="R2" s="16" t="s">
        <v>94</v>
      </c>
      <c r="S2" s="16" t="s">
        <v>92</v>
      </c>
      <c r="T2" s="16" t="s">
        <v>93</v>
      </c>
      <c r="U2" s="16" t="s">
        <v>94</v>
      </c>
      <c r="V2" s="16" t="s">
        <v>92</v>
      </c>
      <c r="W2" s="16" t="s">
        <v>93</v>
      </c>
      <c r="X2" s="16" t="s">
        <v>94</v>
      </c>
      <c r="Y2" s="16" t="s">
        <v>92</v>
      </c>
      <c r="Z2" s="16" t="s">
        <v>93</v>
      </c>
      <c r="AA2" s="16" t="s">
        <v>94</v>
      </c>
      <c r="AB2" s="16" t="s">
        <v>92</v>
      </c>
      <c r="AC2" s="16" t="s">
        <v>95</v>
      </c>
      <c r="AD2" s="16" t="s">
        <v>96</v>
      </c>
      <c r="AE2" s="16" t="s">
        <v>93</v>
      </c>
      <c r="AF2" s="16" t="s">
        <v>94</v>
      </c>
      <c r="AG2" s="16" t="s">
        <v>92</v>
      </c>
      <c r="AH2" s="16" t="s">
        <v>95</v>
      </c>
      <c r="AI2" s="16" t="s">
        <v>96</v>
      </c>
      <c r="AJ2" s="16" t="s">
        <v>93</v>
      </c>
      <c r="AK2" s="16" t="s">
        <v>94</v>
      </c>
    </row>
    <row r="3" spans="1:37">
      <c r="A3" s="32" t="s">
        <v>97</v>
      </c>
      <c r="B3" s="32" t="s">
        <v>98</v>
      </c>
      <c r="C3" s="32" t="s">
        <v>79</v>
      </c>
      <c r="D3" s="33">
        <v>556</v>
      </c>
      <c r="E3" s="33">
        <v>1</v>
      </c>
      <c r="F3" s="33">
        <v>1</v>
      </c>
      <c r="G3" s="33">
        <v>307</v>
      </c>
      <c r="H3" s="33">
        <v>1</v>
      </c>
      <c r="I3" s="33">
        <v>1</v>
      </c>
      <c r="J3" s="33">
        <v>390</v>
      </c>
      <c r="K3" s="33">
        <v>1</v>
      </c>
      <c r="L3" s="33">
        <v>1</v>
      </c>
      <c r="M3" s="33">
        <v>516</v>
      </c>
      <c r="N3" s="33">
        <v>1</v>
      </c>
      <c r="O3" s="33">
        <v>1</v>
      </c>
      <c r="P3" s="33">
        <v>104</v>
      </c>
      <c r="Q3" s="33">
        <v>19</v>
      </c>
      <c r="R3" s="33">
        <v>10</v>
      </c>
      <c r="S3" s="33">
        <v>106</v>
      </c>
      <c r="T3" s="33">
        <v>1</v>
      </c>
      <c r="U3" s="33">
        <v>1</v>
      </c>
      <c r="V3" s="33">
        <v>97</v>
      </c>
      <c r="W3" s="33">
        <v>34</v>
      </c>
      <c r="X3" s="33">
        <v>18</v>
      </c>
      <c r="Y3" s="33">
        <v>83</v>
      </c>
      <c r="Z3" s="33">
        <v>4</v>
      </c>
      <c r="AA3" s="33">
        <v>1</v>
      </c>
      <c r="AB3" s="33">
        <v>58</v>
      </c>
      <c r="AC3" s="33" t="s">
        <v>99</v>
      </c>
      <c r="AD3" s="33">
        <v>84</v>
      </c>
      <c r="AE3" s="33">
        <v>12</v>
      </c>
      <c r="AF3" s="33">
        <v>7</v>
      </c>
      <c r="AG3" s="33">
        <v>68</v>
      </c>
      <c r="AH3" s="33" t="s">
        <v>100</v>
      </c>
      <c r="AI3" s="33">
        <v>82</v>
      </c>
      <c r="AJ3" s="33">
        <v>16</v>
      </c>
      <c r="AK3" s="33">
        <v>12</v>
      </c>
    </row>
    <row r="4" spans="1:37">
      <c r="A4" s="33" t="s">
        <v>97</v>
      </c>
      <c r="B4" s="33" t="s">
        <v>98</v>
      </c>
      <c r="C4" s="33" t="s">
        <v>101</v>
      </c>
      <c r="D4" s="33">
        <v>538</v>
      </c>
      <c r="E4" s="33">
        <v>2</v>
      </c>
      <c r="F4" s="33">
        <v>2</v>
      </c>
      <c r="G4" s="33">
        <v>304</v>
      </c>
      <c r="H4" s="33">
        <v>2</v>
      </c>
      <c r="I4" s="33">
        <v>2</v>
      </c>
      <c r="J4" s="33">
        <v>372</v>
      </c>
      <c r="K4" s="33">
        <v>3</v>
      </c>
      <c r="L4" s="33">
        <v>2</v>
      </c>
      <c r="M4" s="33">
        <v>499</v>
      </c>
      <c r="N4" s="33">
        <v>2</v>
      </c>
      <c r="O4" s="33">
        <v>2</v>
      </c>
      <c r="P4" s="33">
        <v>105</v>
      </c>
      <c r="Q4" s="33">
        <v>17</v>
      </c>
      <c r="R4" s="33">
        <v>8</v>
      </c>
      <c r="S4" s="33">
        <v>87</v>
      </c>
      <c r="T4" s="33">
        <v>11</v>
      </c>
      <c r="U4" s="33">
        <v>7</v>
      </c>
      <c r="V4" s="33">
        <v>112</v>
      </c>
      <c r="W4" s="33">
        <v>11</v>
      </c>
      <c r="X4" s="33">
        <v>7</v>
      </c>
      <c r="Y4" s="33">
        <v>68</v>
      </c>
      <c r="Z4" s="33">
        <v>94</v>
      </c>
      <c r="AA4" s="33">
        <v>33</v>
      </c>
      <c r="AB4" s="33">
        <v>53</v>
      </c>
      <c r="AC4" s="33" t="s">
        <v>100</v>
      </c>
      <c r="AD4" s="33">
        <v>80</v>
      </c>
      <c r="AE4" s="33">
        <v>28</v>
      </c>
      <c r="AF4" s="33">
        <v>13</v>
      </c>
      <c r="AG4" s="33">
        <v>74</v>
      </c>
      <c r="AH4" s="33" t="s">
        <v>99</v>
      </c>
      <c r="AI4" s="33">
        <v>86</v>
      </c>
      <c r="AJ4" s="33">
        <v>3</v>
      </c>
      <c r="AK4" s="33">
        <v>3</v>
      </c>
    </row>
    <row r="5" spans="1:37">
      <c r="A5" s="33" t="s">
        <v>97</v>
      </c>
      <c r="B5" s="33" t="s">
        <v>98</v>
      </c>
      <c r="C5" s="33" t="s">
        <v>77</v>
      </c>
      <c r="D5" s="33">
        <v>535</v>
      </c>
      <c r="E5" s="33">
        <v>3</v>
      </c>
      <c r="F5" s="33">
        <v>3</v>
      </c>
      <c r="G5" s="33">
        <v>292</v>
      </c>
      <c r="H5" s="33">
        <v>5</v>
      </c>
      <c r="I5" s="33">
        <v>4</v>
      </c>
      <c r="J5" s="33">
        <v>370</v>
      </c>
      <c r="K5" s="33">
        <v>4</v>
      </c>
      <c r="L5" s="33">
        <v>3</v>
      </c>
      <c r="M5" s="33">
        <v>494</v>
      </c>
      <c r="N5" s="33">
        <v>4</v>
      </c>
      <c r="O5" s="33">
        <v>4</v>
      </c>
      <c r="P5" s="33">
        <v>109</v>
      </c>
      <c r="Q5" s="33">
        <v>8</v>
      </c>
      <c r="R5" s="33">
        <v>4</v>
      </c>
      <c r="S5" s="33">
        <v>65</v>
      </c>
      <c r="T5" s="33">
        <v>47</v>
      </c>
      <c r="U5" s="33">
        <v>18</v>
      </c>
      <c r="V5" s="33">
        <v>118</v>
      </c>
      <c r="W5" s="33">
        <v>4</v>
      </c>
      <c r="X5" s="33">
        <v>2</v>
      </c>
      <c r="Y5" s="33">
        <v>78</v>
      </c>
      <c r="Z5" s="33">
        <v>18</v>
      </c>
      <c r="AA5" s="33">
        <v>8</v>
      </c>
      <c r="AB5" s="33">
        <v>56</v>
      </c>
      <c r="AC5" s="33" t="s">
        <v>99</v>
      </c>
      <c r="AD5" s="33">
        <v>83</v>
      </c>
      <c r="AE5" s="33">
        <v>19</v>
      </c>
      <c r="AF5" s="33">
        <v>11</v>
      </c>
      <c r="AG5" s="33">
        <v>68</v>
      </c>
      <c r="AH5" s="33" t="s">
        <v>100</v>
      </c>
      <c r="AI5" s="33">
        <v>82</v>
      </c>
      <c r="AJ5" s="33">
        <v>16</v>
      </c>
      <c r="AK5" s="33">
        <v>12</v>
      </c>
    </row>
    <row r="6" spans="1:37">
      <c r="A6" s="34" t="s">
        <v>97</v>
      </c>
      <c r="B6" s="34" t="s">
        <v>98</v>
      </c>
      <c r="C6" s="34" t="s">
        <v>76</v>
      </c>
      <c r="D6" s="34">
        <v>534</v>
      </c>
      <c r="E6" s="34">
        <v>4</v>
      </c>
      <c r="F6" s="34">
        <v>4</v>
      </c>
      <c r="G6" s="34">
        <v>287</v>
      </c>
      <c r="H6" s="34">
        <v>6</v>
      </c>
      <c r="I6" s="34">
        <v>5</v>
      </c>
      <c r="J6" s="34">
        <v>367</v>
      </c>
      <c r="K6" s="34">
        <v>5</v>
      </c>
      <c r="L6" s="34">
        <v>4</v>
      </c>
      <c r="M6" s="34">
        <v>497</v>
      </c>
      <c r="N6" s="34">
        <v>3</v>
      </c>
      <c r="O6" s="34">
        <v>3</v>
      </c>
      <c r="P6" s="34">
        <v>114</v>
      </c>
      <c r="Q6" s="34">
        <v>1</v>
      </c>
      <c r="R6" s="34">
        <v>1</v>
      </c>
      <c r="S6" s="34">
        <v>88</v>
      </c>
      <c r="T6" s="34">
        <v>10</v>
      </c>
      <c r="U6" s="34">
        <v>6</v>
      </c>
      <c r="V6" s="34">
        <v>85</v>
      </c>
      <c r="W6" s="34">
        <v>77</v>
      </c>
      <c r="X6" s="34">
        <v>30</v>
      </c>
      <c r="Y6" s="34">
        <v>80</v>
      </c>
      <c r="Z6" s="34">
        <v>11</v>
      </c>
      <c r="AA6" s="34">
        <v>4</v>
      </c>
      <c r="AB6" s="34">
        <v>66</v>
      </c>
      <c r="AC6" s="34" t="s">
        <v>99</v>
      </c>
      <c r="AD6" s="34">
        <v>90</v>
      </c>
      <c r="AE6" s="34">
        <v>1</v>
      </c>
      <c r="AF6" s="34">
        <v>1</v>
      </c>
      <c r="AG6" s="34">
        <v>64</v>
      </c>
      <c r="AH6" s="34" t="s">
        <v>100</v>
      </c>
      <c r="AI6" s="34">
        <v>77</v>
      </c>
      <c r="AJ6" s="34">
        <v>33</v>
      </c>
      <c r="AK6" s="34">
        <v>24</v>
      </c>
    </row>
    <row r="7" spans="1:37">
      <c r="A7" s="33" t="s">
        <v>97</v>
      </c>
      <c r="B7" s="33" t="s">
        <v>98</v>
      </c>
      <c r="C7" s="33" t="s">
        <v>75</v>
      </c>
      <c r="D7" s="33">
        <v>518</v>
      </c>
      <c r="E7" s="33">
        <v>5</v>
      </c>
      <c r="F7" s="33">
        <v>5</v>
      </c>
      <c r="G7" s="33">
        <v>284</v>
      </c>
      <c r="H7" s="33">
        <v>7</v>
      </c>
      <c r="I7" s="33">
        <v>6</v>
      </c>
      <c r="J7" s="33">
        <v>357</v>
      </c>
      <c r="K7" s="33">
        <v>6</v>
      </c>
      <c r="L7" s="33">
        <v>5</v>
      </c>
      <c r="M7" s="33">
        <v>478</v>
      </c>
      <c r="N7" s="33">
        <v>5</v>
      </c>
      <c r="O7" s="33">
        <v>5</v>
      </c>
      <c r="P7" s="33">
        <v>102</v>
      </c>
      <c r="Q7" s="33">
        <v>32</v>
      </c>
      <c r="R7" s="33">
        <v>13</v>
      </c>
      <c r="S7" s="33">
        <v>71</v>
      </c>
      <c r="T7" s="33">
        <v>31</v>
      </c>
      <c r="U7" s="33">
        <v>15</v>
      </c>
      <c r="V7" s="33">
        <v>111</v>
      </c>
      <c r="W7" s="33">
        <v>14</v>
      </c>
      <c r="X7" s="33">
        <v>9</v>
      </c>
      <c r="Y7" s="33">
        <v>73</v>
      </c>
      <c r="Z7" s="33">
        <v>48</v>
      </c>
      <c r="AA7" s="33">
        <v>24</v>
      </c>
      <c r="AB7" s="33">
        <v>55</v>
      </c>
      <c r="AC7" s="33" t="s">
        <v>100</v>
      </c>
      <c r="AD7" s="33">
        <v>82</v>
      </c>
      <c r="AE7" s="33">
        <v>21</v>
      </c>
      <c r="AF7" s="33">
        <v>12</v>
      </c>
      <c r="AG7" s="33">
        <v>66</v>
      </c>
      <c r="AH7" s="33" t="s">
        <v>100</v>
      </c>
      <c r="AI7" s="33">
        <v>79</v>
      </c>
      <c r="AJ7" s="33">
        <v>25</v>
      </c>
      <c r="AK7" s="33">
        <v>19</v>
      </c>
    </row>
    <row r="8" spans="1:37">
      <c r="A8" s="34" t="s">
        <v>97</v>
      </c>
      <c r="B8" s="34" t="s">
        <v>98</v>
      </c>
      <c r="C8" s="34" t="s">
        <v>74</v>
      </c>
      <c r="D8" s="34">
        <v>511</v>
      </c>
      <c r="E8" s="34">
        <v>7</v>
      </c>
      <c r="F8" s="34">
        <v>6</v>
      </c>
      <c r="G8" s="34">
        <v>293</v>
      </c>
      <c r="H8" s="34">
        <v>3</v>
      </c>
      <c r="I8" s="34">
        <v>3</v>
      </c>
      <c r="J8" s="34">
        <v>356</v>
      </c>
      <c r="K8" s="34">
        <v>7</v>
      </c>
      <c r="L8" s="34">
        <v>6</v>
      </c>
      <c r="M8" s="34">
        <v>472</v>
      </c>
      <c r="N8" s="34">
        <v>6</v>
      </c>
      <c r="O8" s="34">
        <v>6</v>
      </c>
      <c r="P8" s="34">
        <v>107</v>
      </c>
      <c r="Q8" s="34">
        <v>10</v>
      </c>
      <c r="R8" s="34">
        <v>5</v>
      </c>
      <c r="S8" s="34">
        <v>94</v>
      </c>
      <c r="T8" s="34">
        <v>5</v>
      </c>
      <c r="U8" s="34">
        <v>3</v>
      </c>
      <c r="V8" s="34">
        <v>92</v>
      </c>
      <c r="W8" s="34">
        <v>49</v>
      </c>
      <c r="X8" s="34">
        <v>22</v>
      </c>
      <c r="Y8" s="34">
        <v>63</v>
      </c>
      <c r="Z8" s="34">
        <v>139</v>
      </c>
      <c r="AA8" s="34">
        <v>45</v>
      </c>
      <c r="AB8" s="34">
        <v>50</v>
      </c>
      <c r="AC8" s="34" t="s">
        <v>100</v>
      </c>
      <c r="AD8" s="34">
        <v>76</v>
      </c>
      <c r="AE8" s="34">
        <v>52</v>
      </c>
      <c r="AF8" s="34">
        <v>22</v>
      </c>
      <c r="AG8" s="34">
        <v>66</v>
      </c>
      <c r="AH8" s="34" t="s">
        <v>100</v>
      </c>
      <c r="AI8" s="34">
        <v>79</v>
      </c>
      <c r="AJ8" s="34">
        <v>25</v>
      </c>
      <c r="AK8" s="34">
        <v>19</v>
      </c>
    </row>
    <row r="9" spans="1:37">
      <c r="A9" s="33" t="s">
        <v>97</v>
      </c>
      <c r="B9" s="33" t="s">
        <v>98</v>
      </c>
      <c r="C9" s="33" t="s">
        <v>73</v>
      </c>
      <c r="D9" s="33">
        <v>501</v>
      </c>
      <c r="E9" s="33">
        <v>11</v>
      </c>
      <c r="F9" s="33">
        <v>7</v>
      </c>
      <c r="G9" s="33">
        <v>259</v>
      </c>
      <c r="H9" s="33">
        <v>28</v>
      </c>
      <c r="I9" s="33">
        <v>14</v>
      </c>
      <c r="J9" s="33">
        <v>337</v>
      </c>
      <c r="K9" s="33">
        <v>22</v>
      </c>
      <c r="L9" s="33">
        <v>13</v>
      </c>
      <c r="M9" s="33">
        <v>463</v>
      </c>
      <c r="N9" s="33">
        <v>9</v>
      </c>
      <c r="O9" s="33">
        <v>7</v>
      </c>
      <c r="P9" s="33">
        <v>95</v>
      </c>
      <c r="Q9" s="33">
        <v>81</v>
      </c>
      <c r="R9" s="33">
        <v>32</v>
      </c>
      <c r="S9" s="33">
        <v>104</v>
      </c>
      <c r="T9" s="33">
        <v>2</v>
      </c>
      <c r="U9" s="33">
        <v>2</v>
      </c>
      <c r="V9" s="33">
        <v>60</v>
      </c>
      <c r="W9" s="33">
        <v>145</v>
      </c>
      <c r="X9" s="33">
        <v>47</v>
      </c>
      <c r="Y9" s="33">
        <v>78</v>
      </c>
      <c r="Z9" s="33">
        <v>18</v>
      </c>
      <c r="AA9" s="33">
        <v>8</v>
      </c>
      <c r="AB9" s="33">
        <v>52</v>
      </c>
      <c r="AC9" s="33" t="s">
        <v>100</v>
      </c>
      <c r="AD9" s="33">
        <v>78</v>
      </c>
      <c r="AE9" s="33">
        <v>39</v>
      </c>
      <c r="AF9" s="33">
        <v>17</v>
      </c>
      <c r="AG9" s="33">
        <v>74</v>
      </c>
      <c r="AH9" s="33" t="s">
        <v>99</v>
      </c>
      <c r="AI9" s="33">
        <v>86</v>
      </c>
      <c r="AJ9" s="33">
        <v>3</v>
      </c>
      <c r="AK9" s="33">
        <v>3</v>
      </c>
    </row>
    <row r="10" spans="1:37">
      <c r="A10" s="34" t="s">
        <v>97</v>
      </c>
      <c r="B10" s="34" t="s">
        <v>98</v>
      </c>
      <c r="C10" s="34" t="s">
        <v>72</v>
      </c>
      <c r="D10" s="34">
        <v>497</v>
      </c>
      <c r="E10" s="34">
        <v>13</v>
      </c>
      <c r="F10" s="34">
        <v>8</v>
      </c>
      <c r="G10" s="34">
        <v>257</v>
      </c>
      <c r="H10" s="34">
        <v>31</v>
      </c>
      <c r="I10" s="34">
        <v>16</v>
      </c>
      <c r="J10" s="34">
        <v>330</v>
      </c>
      <c r="K10" s="34">
        <v>28</v>
      </c>
      <c r="L10" s="34">
        <v>15</v>
      </c>
      <c r="M10" s="34">
        <v>457</v>
      </c>
      <c r="N10" s="34">
        <v>15</v>
      </c>
      <c r="O10" s="34">
        <v>10</v>
      </c>
      <c r="P10" s="34">
        <v>100</v>
      </c>
      <c r="Q10" s="34">
        <v>42</v>
      </c>
      <c r="R10" s="34">
        <v>16</v>
      </c>
      <c r="S10" s="34">
        <v>69</v>
      </c>
      <c r="T10" s="34">
        <v>38</v>
      </c>
      <c r="U10" s="34">
        <v>16</v>
      </c>
      <c r="V10" s="34">
        <v>88</v>
      </c>
      <c r="W10" s="34">
        <v>69</v>
      </c>
      <c r="X10" s="34">
        <v>28</v>
      </c>
      <c r="Y10" s="34">
        <v>73</v>
      </c>
      <c r="Z10" s="34">
        <v>48</v>
      </c>
      <c r="AA10" s="34">
        <v>24</v>
      </c>
      <c r="AB10" s="34">
        <v>57</v>
      </c>
      <c r="AC10" s="34" t="s">
        <v>99</v>
      </c>
      <c r="AD10" s="34">
        <v>84</v>
      </c>
      <c r="AE10" s="34">
        <v>14</v>
      </c>
      <c r="AF10" s="34">
        <v>8</v>
      </c>
      <c r="AG10" s="34">
        <v>70</v>
      </c>
      <c r="AH10" s="34" t="s">
        <v>99</v>
      </c>
      <c r="AI10" s="34">
        <v>83</v>
      </c>
      <c r="AJ10" s="34">
        <v>12</v>
      </c>
      <c r="AK10" s="34">
        <v>10</v>
      </c>
    </row>
    <row r="11" spans="1:37">
      <c r="A11" s="33" t="s">
        <v>97</v>
      </c>
      <c r="B11" s="33" t="s">
        <v>98</v>
      </c>
      <c r="C11" s="33" t="s">
        <v>71</v>
      </c>
      <c r="D11" s="33">
        <v>497</v>
      </c>
      <c r="E11" s="33">
        <v>13</v>
      </c>
      <c r="F11" s="33">
        <v>8</v>
      </c>
      <c r="G11" s="33">
        <v>269</v>
      </c>
      <c r="H11" s="33">
        <v>18</v>
      </c>
      <c r="I11" s="33">
        <v>10</v>
      </c>
      <c r="J11" s="33">
        <v>344</v>
      </c>
      <c r="K11" s="33">
        <v>12</v>
      </c>
      <c r="L11" s="33">
        <v>7</v>
      </c>
      <c r="M11" s="33">
        <v>459</v>
      </c>
      <c r="N11" s="33">
        <v>12</v>
      </c>
      <c r="O11" s="33">
        <v>8</v>
      </c>
      <c r="P11" s="33">
        <v>112</v>
      </c>
      <c r="Q11" s="33">
        <v>2</v>
      </c>
      <c r="R11" s="33">
        <v>2</v>
      </c>
      <c r="S11" s="33">
        <v>52</v>
      </c>
      <c r="T11" s="33">
        <v>81</v>
      </c>
      <c r="U11" s="33">
        <v>28</v>
      </c>
      <c r="V11" s="33">
        <v>105</v>
      </c>
      <c r="W11" s="33">
        <v>7</v>
      </c>
      <c r="X11" s="33">
        <v>2</v>
      </c>
      <c r="Y11" s="33">
        <v>75</v>
      </c>
      <c r="Z11" s="33">
        <v>38</v>
      </c>
      <c r="AA11" s="33">
        <v>19</v>
      </c>
      <c r="AB11" s="33">
        <v>45</v>
      </c>
      <c r="AC11" s="33" t="s">
        <v>102</v>
      </c>
      <c r="AD11" s="33">
        <v>70</v>
      </c>
      <c r="AE11" s="33">
        <v>99</v>
      </c>
      <c r="AF11" s="33">
        <v>37</v>
      </c>
      <c r="AG11" s="33">
        <v>70</v>
      </c>
      <c r="AH11" s="33" t="s">
        <v>99</v>
      </c>
      <c r="AI11" s="33">
        <v>83</v>
      </c>
      <c r="AJ11" s="33">
        <v>12</v>
      </c>
      <c r="AK11" s="33">
        <v>10</v>
      </c>
    </row>
    <row r="12" spans="1:37">
      <c r="A12" s="33" t="s">
        <v>97</v>
      </c>
      <c r="B12" s="33" t="s">
        <v>98</v>
      </c>
      <c r="C12" s="33" t="s">
        <v>70</v>
      </c>
      <c r="D12" s="33">
        <v>497</v>
      </c>
      <c r="E12" s="33">
        <v>13</v>
      </c>
      <c r="F12" s="33">
        <v>8</v>
      </c>
      <c r="G12" s="33">
        <v>253</v>
      </c>
      <c r="H12" s="33">
        <v>40</v>
      </c>
      <c r="I12" s="33">
        <v>22</v>
      </c>
      <c r="J12" s="33">
        <v>327</v>
      </c>
      <c r="K12" s="33">
        <v>35</v>
      </c>
      <c r="L12" s="33">
        <v>19</v>
      </c>
      <c r="M12" s="33">
        <v>458</v>
      </c>
      <c r="N12" s="33">
        <v>14</v>
      </c>
      <c r="O12" s="33">
        <v>9</v>
      </c>
      <c r="P12" s="33">
        <v>91</v>
      </c>
      <c r="Q12" s="33">
        <v>109</v>
      </c>
      <c r="R12" s="33">
        <v>39</v>
      </c>
      <c r="S12" s="33">
        <v>43</v>
      </c>
      <c r="T12" s="33">
        <v>122</v>
      </c>
      <c r="U12" s="33">
        <v>40</v>
      </c>
      <c r="V12" s="33">
        <v>119</v>
      </c>
      <c r="W12" s="33">
        <v>2</v>
      </c>
      <c r="X12" s="33">
        <v>1</v>
      </c>
      <c r="Y12" s="33">
        <v>74</v>
      </c>
      <c r="Z12" s="33">
        <v>43</v>
      </c>
      <c r="AA12" s="33">
        <v>21</v>
      </c>
      <c r="AB12" s="33">
        <v>63</v>
      </c>
      <c r="AC12" s="33" t="s">
        <v>99</v>
      </c>
      <c r="AD12" s="33">
        <v>88</v>
      </c>
      <c r="AE12" s="33">
        <v>2</v>
      </c>
      <c r="AF12" s="33">
        <v>2</v>
      </c>
      <c r="AG12" s="33">
        <v>68</v>
      </c>
      <c r="AH12" s="33" t="s">
        <v>100</v>
      </c>
      <c r="AI12" s="33">
        <v>82</v>
      </c>
      <c r="AJ12" s="33">
        <v>16</v>
      </c>
      <c r="AK12" s="33">
        <v>12</v>
      </c>
    </row>
    <row r="13" spans="1:37">
      <c r="A13" s="34" t="s">
        <v>97</v>
      </c>
      <c r="B13" s="34" t="s">
        <v>98</v>
      </c>
      <c r="C13" s="34" t="s">
        <v>69</v>
      </c>
      <c r="D13" s="34">
        <v>495</v>
      </c>
      <c r="E13" s="34">
        <v>16</v>
      </c>
      <c r="F13" s="34">
        <v>11</v>
      </c>
      <c r="G13" s="34">
        <v>256</v>
      </c>
      <c r="H13" s="34">
        <v>34</v>
      </c>
      <c r="I13" s="34">
        <v>18</v>
      </c>
      <c r="J13" s="34">
        <v>330</v>
      </c>
      <c r="K13" s="34">
        <v>28</v>
      </c>
      <c r="L13" s="34">
        <v>15</v>
      </c>
      <c r="M13" s="34">
        <v>457</v>
      </c>
      <c r="N13" s="34">
        <v>15</v>
      </c>
      <c r="O13" s="34">
        <v>10</v>
      </c>
      <c r="P13" s="34">
        <v>86</v>
      </c>
      <c r="Q13" s="34">
        <v>143</v>
      </c>
      <c r="R13" s="34">
        <v>46</v>
      </c>
      <c r="S13" s="34">
        <v>85</v>
      </c>
      <c r="T13" s="34">
        <v>14</v>
      </c>
      <c r="U13" s="34">
        <v>9</v>
      </c>
      <c r="V13" s="34">
        <v>85</v>
      </c>
      <c r="W13" s="34">
        <v>77</v>
      </c>
      <c r="X13" s="34">
        <v>30</v>
      </c>
      <c r="Y13" s="34">
        <v>74</v>
      </c>
      <c r="Z13" s="34">
        <v>43</v>
      </c>
      <c r="AA13" s="34">
        <v>21</v>
      </c>
      <c r="AB13" s="34">
        <v>63</v>
      </c>
      <c r="AC13" s="34" t="s">
        <v>99</v>
      </c>
      <c r="AD13" s="34">
        <v>88</v>
      </c>
      <c r="AE13" s="34">
        <v>2</v>
      </c>
      <c r="AF13" s="34">
        <v>2</v>
      </c>
      <c r="AG13" s="34">
        <v>64</v>
      </c>
      <c r="AH13" s="34" t="s">
        <v>100</v>
      </c>
      <c r="AI13" s="34">
        <v>77</v>
      </c>
      <c r="AJ13" s="34">
        <v>33</v>
      </c>
      <c r="AK13" s="34">
        <v>24</v>
      </c>
    </row>
    <row r="14" spans="1:37">
      <c r="A14" s="34" t="s">
        <v>97</v>
      </c>
      <c r="B14" s="34" t="s">
        <v>98</v>
      </c>
      <c r="C14" s="34" t="s">
        <v>68</v>
      </c>
      <c r="D14" s="34">
        <v>493</v>
      </c>
      <c r="E14" s="34">
        <v>18</v>
      </c>
      <c r="F14" s="34">
        <v>12</v>
      </c>
      <c r="G14" s="34">
        <v>264</v>
      </c>
      <c r="H14" s="34">
        <v>22</v>
      </c>
      <c r="I14" s="34">
        <v>12</v>
      </c>
      <c r="J14" s="34">
        <v>342</v>
      </c>
      <c r="K14" s="34">
        <v>16</v>
      </c>
      <c r="L14" s="34">
        <v>11</v>
      </c>
      <c r="M14" s="34">
        <v>455</v>
      </c>
      <c r="N14" s="34">
        <v>18</v>
      </c>
      <c r="O14" s="34">
        <v>13</v>
      </c>
      <c r="P14" s="34">
        <v>99</v>
      </c>
      <c r="Q14" s="34">
        <v>48</v>
      </c>
      <c r="R14" s="34">
        <v>19</v>
      </c>
      <c r="S14" s="34">
        <v>83</v>
      </c>
      <c r="T14" s="34">
        <v>16</v>
      </c>
      <c r="U14" s="34">
        <v>11</v>
      </c>
      <c r="V14" s="34">
        <v>82</v>
      </c>
      <c r="W14" s="34">
        <v>87</v>
      </c>
      <c r="X14" s="34">
        <v>34</v>
      </c>
      <c r="Y14" s="34">
        <v>78</v>
      </c>
      <c r="Z14" s="34">
        <v>18</v>
      </c>
      <c r="AA14" s="34">
        <v>8</v>
      </c>
      <c r="AB14" s="34">
        <v>53</v>
      </c>
      <c r="AC14" s="34" t="s">
        <v>100</v>
      </c>
      <c r="AD14" s="34">
        <v>80</v>
      </c>
      <c r="AE14" s="34">
        <v>28</v>
      </c>
      <c r="AF14" s="34">
        <v>13</v>
      </c>
      <c r="AG14" s="34">
        <v>60</v>
      </c>
      <c r="AH14" s="34" t="s">
        <v>100</v>
      </c>
      <c r="AI14" s="34">
        <v>71</v>
      </c>
      <c r="AJ14" s="34">
        <v>53</v>
      </c>
      <c r="AK14" s="34">
        <v>37</v>
      </c>
    </row>
    <row r="15" spans="1:37">
      <c r="A15" s="33" t="s">
        <v>97</v>
      </c>
      <c r="B15" s="33" t="s">
        <v>98</v>
      </c>
      <c r="C15" s="33" t="s">
        <v>67</v>
      </c>
      <c r="D15" s="33">
        <v>492</v>
      </c>
      <c r="E15" s="33">
        <v>19</v>
      </c>
      <c r="F15" s="33">
        <v>13</v>
      </c>
      <c r="G15" s="33">
        <v>278</v>
      </c>
      <c r="H15" s="33">
        <v>9</v>
      </c>
      <c r="I15" s="33">
        <v>7</v>
      </c>
      <c r="J15" s="33">
        <v>343</v>
      </c>
      <c r="K15" s="33">
        <v>13</v>
      </c>
      <c r="L15" s="33">
        <v>8</v>
      </c>
      <c r="M15" s="33">
        <v>454</v>
      </c>
      <c r="N15" s="33">
        <v>19</v>
      </c>
      <c r="O15" s="33">
        <v>14</v>
      </c>
      <c r="P15" s="33">
        <v>95</v>
      </c>
      <c r="Q15" s="33">
        <v>81</v>
      </c>
      <c r="R15" s="33">
        <v>32</v>
      </c>
      <c r="S15" s="33">
        <v>91</v>
      </c>
      <c r="T15" s="33">
        <v>8</v>
      </c>
      <c r="U15" s="33">
        <v>5</v>
      </c>
      <c r="V15" s="33">
        <v>92</v>
      </c>
      <c r="W15" s="33">
        <v>49</v>
      </c>
      <c r="X15" s="33">
        <v>22</v>
      </c>
      <c r="Y15" s="33">
        <v>65</v>
      </c>
      <c r="Z15" s="33">
        <v>123</v>
      </c>
      <c r="AA15" s="33">
        <v>42</v>
      </c>
      <c r="AB15" s="33">
        <v>45</v>
      </c>
      <c r="AC15" s="33" t="s">
        <v>102</v>
      </c>
      <c r="AD15" s="33">
        <v>70</v>
      </c>
      <c r="AE15" s="33">
        <v>99</v>
      </c>
      <c r="AF15" s="33">
        <v>37</v>
      </c>
      <c r="AG15" s="33">
        <v>66</v>
      </c>
      <c r="AH15" s="33" t="s">
        <v>100</v>
      </c>
      <c r="AI15" s="33">
        <v>79</v>
      </c>
      <c r="AJ15" s="33">
        <v>25</v>
      </c>
      <c r="AK15" s="33">
        <v>19</v>
      </c>
    </row>
    <row r="16" spans="1:37">
      <c r="A16" s="34" t="s">
        <v>97</v>
      </c>
      <c r="B16" s="34" t="s">
        <v>98</v>
      </c>
      <c r="C16" s="34" t="s">
        <v>66</v>
      </c>
      <c r="D16" s="34">
        <v>492</v>
      </c>
      <c r="E16" s="34">
        <v>19</v>
      </c>
      <c r="F16" s="34">
        <v>13</v>
      </c>
      <c r="G16" s="34">
        <v>265</v>
      </c>
      <c r="H16" s="34">
        <v>21</v>
      </c>
      <c r="I16" s="34">
        <v>11</v>
      </c>
      <c r="J16" s="34">
        <v>343</v>
      </c>
      <c r="K16" s="34">
        <v>13</v>
      </c>
      <c r="L16" s="34">
        <v>8</v>
      </c>
      <c r="M16" s="34">
        <v>457</v>
      </c>
      <c r="N16" s="34">
        <v>15</v>
      </c>
      <c r="O16" s="34">
        <v>10</v>
      </c>
      <c r="P16" s="34">
        <v>86</v>
      </c>
      <c r="Q16" s="34">
        <v>143</v>
      </c>
      <c r="R16" s="34">
        <v>46</v>
      </c>
      <c r="S16" s="34">
        <v>60</v>
      </c>
      <c r="T16" s="34">
        <v>58</v>
      </c>
      <c r="U16" s="34">
        <v>21</v>
      </c>
      <c r="V16" s="34">
        <v>119</v>
      </c>
      <c r="W16" s="34">
        <v>2</v>
      </c>
      <c r="X16" s="34">
        <v>1</v>
      </c>
      <c r="Y16" s="34">
        <v>78</v>
      </c>
      <c r="Z16" s="34">
        <v>18</v>
      </c>
      <c r="AA16" s="34">
        <v>8</v>
      </c>
      <c r="AB16" s="34">
        <v>36</v>
      </c>
      <c r="AC16" s="34" t="s">
        <v>102</v>
      </c>
      <c r="AD16" s="34">
        <v>59</v>
      </c>
      <c r="AE16" s="34">
        <v>168</v>
      </c>
      <c r="AF16" s="34">
        <v>51</v>
      </c>
      <c r="AG16" s="34">
        <v>78</v>
      </c>
      <c r="AH16" s="34" t="s">
        <v>99</v>
      </c>
      <c r="AI16" s="34">
        <v>90</v>
      </c>
      <c r="AJ16" s="34">
        <v>2</v>
      </c>
      <c r="AK16" s="34">
        <v>2</v>
      </c>
    </row>
    <row r="17" spans="1:37">
      <c r="A17" s="34" t="s">
        <v>97</v>
      </c>
      <c r="B17" s="34" t="s">
        <v>98</v>
      </c>
      <c r="C17" s="34" t="s">
        <v>65</v>
      </c>
      <c r="D17" s="34">
        <v>491</v>
      </c>
      <c r="E17" s="34">
        <v>21</v>
      </c>
      <c r="F17" s="34">
        <v>15</v>
      </c>
      <c r="G17" s="34">
        <v>256</v>
      </c>
      <c r="H17" s="34">
        <v>34</v>
      </c>
      <c r="I17" s="34">
        <v>18</v>
      </c>
      <c r="J17" s="34">
        <v>334</v>
      </c>
      <c r="K17" s="34">
        <v>25</v>
      </c>
      <c r="L17" s="34">
        <v>14</v>
      </c>
      <c r="M17" s="34">
        <v>451</v>
      </c>
      <c r="N17" s="34">
        <v>20</v>
      </c>
      <c r="O17" s="34">
        <v>15</v>
      </c>
      <c r="P17" s="34">
        <v>105</v>
      </c>
      <c r="Q17" s="34">
        <v>17</v>
      </c>
      <c r="R17" s="34">
        <v>8</v>
      </c>
      <c r="S17" s="34">
        <v>54</v>
      </c>
      <c r="T17" s="34">
        <v>76</v>
      </c>
      <c r="U17" s="34">
        <v>24</v>
      </c>
      <c r="V17" s="34">
        <v>97</v>
      </c>
      <c r="W17" s="34">
        <v>34</v>
      </c>
      <c r="X17" s="34">
        <v>18</v>
      </c>
      <c r="Y17" s="34">
        <v>78</v>
      </c>
      <c r="Z17" s="34">
        <v>18</v>
      </c>
      <c r="AA17" s="34">
        <v>8</v>
      </c>
      <c r="AB17" s="34">
        <v>49</v>
      </c>
      <c r="AC17" s="34" t="s">
        <v>100</v>
      </c>
      <c r="AD17" s="34">
        <v>75</v>
      </c>
      <c r="AE17" s="34">
        <v>63</v>
      </c>
      <c r="AF17" s="34">
        <v>28</v>
      </c>
      <c r="AG17" s="34">
        <v>68</v>
      </c>
      <c r="AH17" s="34" t="s">
        <v>100</v>
      </c>
      <c r="AI17" s="34">
        <v>82</v>
      </c>
      <c r="AJ17" s="34">
        <v>16</v>
      </c>
      <c r="AK17" s="34">
        <v>12</v>
      </c>
    </row>
    <row r="18" spans="1:37">
      <c r="A18" s="34" t="s">
        <v>97</v>
      </c>
      <c r="B18" s="34" t="s">
        <v>98</v>
      </c>
      <c r="C18" s="34" t="s">
        <v>64</v>
      </c>
      <c r="D18" s="34">
        <v>491</v>
      </c>
      <c r="E18" s="34">
        <v>21</v>
      </c>
      <c r="F18" s="34">
        <v>15</v>
      </c>
      <c r="G18" s="34">
        <v>245</v>
      </c>
      <c r="H18" s="34">
        <v>54</v>
      </c>
      <c r="I18" s="34">
        <v>28</v>
      </c>
      <c r="J18" s="34">
        <v>326</v>
      </c>
      <c r="K18" s="34">
        <v>38</v>
      </c>
      <c r="L18" s="34">
        <v>20</v>
      </c>
      <c r="M18" s="34">
        <v>451</v>
      </c>
      <c r="N18" s="34">
        <v>20</v>
      </c>
      <c r="O18" s="34">
        <v>15</v>
      </c>
      <c r="P18" s="34">
        <v>86</v>
      </c>
      <c r="Q18" s="34">
        <v>143</v>
      </c>
      <c r="R18" s="34">
        <v>46</v>
      </c>
      <c r="S18" s="34">
        <v>41</v>
      </c>
      <c r="T18" s="34">
        <v>129</v>
      </c>
      <c r="U18" s="34">
        <v>41</v>
      </c>
      <c r="V18" s="34">
        <v>118</v>
      </c>
      <c r="W18" s="34">
        <v>4</v>
      </c>
      <c r="X18" s="34">
        <v>2</v>
      </c>
      <c r="Y18" s="34">
        <v>81</v>
      </c>
      <c r="Z18" s="34">
        <v>8</v>
      </c>
      <c r="AA18" s="34">
        <v>3</v>
      </c>
      <c r="AB18" s="34">
        <v>53</v>
      </c>
      <c r="AC18" s="34" t="s">
        <v>100</v>
      </c>
      <c r="AD18" s="34">
        <v>80</v>
      </c>
      <c r="AE18" s="34">
        <v>28</v>
      </c>
      <c r="AF18" s="34">
        <v>13</v>
      </c>
      <c r="AG18" s="34">
        <v>72</v>
      </c>
      <c r="AH18" s="34" t="s">
        <v>99</v>
      </c>
      <c r="AI18" s="34">
        <v>85</v>
      </c>
      <c r="AJ18" s="34">
        <v>8</v>
      </c>
      <c r="AK18" s="34">
        <v>7</v>
      </c>
    </row>
    <row r="19" spans="1:37">
      <c r="A19" s="34" t="s">
        <v>97</v>
      </c>
      <c r="B19" s="34" t="s">
        <v>98</v>
      </c>
      <c r="C19" s="34" t="s">
        <v>63</v>
      </c>
      <c r="D19" s="34">
        <v>489</v>
      </c>
      <c r="E19" s="34">
        <v>24</v>
      </c>
      <c r="F19" s="34">
        <v>17</v>
      </c>
      <c r="G19" s="34">
        <v>254</v>
      </c>
      <c r="H19" s="34">
        <v>38</v>
      </c>
      <c r="I19" s="34">
        <v>21</v>
      </c>
      <c r="J19" s="34">
        <v>328</v>
      </c>
      <c r="K19" s="34">
        <v>34</v>
      </c>
      <c r="L19" s="34">
        <v>18</v>
      </c>
      <c r="M19" s="34">
        <v>450</v>
      </c>
      <c r="N19" s="34">
        <v>23</v>
      </c>
      <c r="O19" s="34">
        <v>18</v>
      </c>
      <c r="P19" s="34">
        <v>100</v>
      </c>
      <c r="Q19" s="34">
        <v>42</v>
      </c>
      <c r="R19" s="34">
        <v>16</v>
      </c>
      <c r="S19" s="34">
        <v>80</v>
      </c>
      <c r="T19" s="34">
        <v>20</v>
      </c>
      <c r="U19" s="34">
        <v>12</v>
      </c>
      <c r="V19" s="34">
        <v>74</v>
      </c>
      <c r="W19" s="34">
        <v>107</v>
      </c>
      <c r="X19" s="34">
        <v>42</v>
      </c>
      <c r="Y19" s="34">
        <v>74</v>
      </c>
      <c r="Z19" s="34">
        <v>43</v>
      </c>
      <c r="AA19" s="34">
        <v>21</v>
      </c>
      <c r="AB19" s="34">
        <v>50</v>
      </c>
      <c r="AC19" s="34" t="s">
        <v>100</v>
      </c>
      <c r="AD19" s="34">
        <v>76</v>
      </c>
      <c r="AE19" s="34">
        <v>52</v>
      </c>
      <c r="AF19" s="34">
        <v>22</v>
      </c>
      <c r="AG19" s="34">
        <v>72</v>
      </c>
      <c r="AH19" s="34" t="s">
        <v>99</v>
      </c>
      <c r="AI19" s="34">
        <v>85</v>
      </c>
      <c r="AJ19" s="34">
        <v>8</v>
      </c>
      <c r="AK19" s="34">
        <v>7</v>
      </c>
    </row>
    <row r="20" spans="1:37">
      <c r="A20" s="34" t="s">
        <v>97</v>
      </c>
      <c r="B20" s="34" t="s">
        <v>98</v>
      </c>
      <c r="C20" s="34" t="s">
        <v>62</v>
      </c>
      <c r="D20" s="34">
        <v>488</v>
      </c>
      <c r="E20" s="34">
        <v>26</v>
      </c>
      <c r="F20" s="34">
        <v>18</v>
      </c>
      <c r="G20" s="34">
        <v>275</v>
      </c>
      <c r="H20" s="34">
        <v>13</v>
      </c>
      <c r="I20" s="34">
        <v>8</v>
      </c>
      <c r="J20" s="34">
        <v>343</v>
      </c>
      <c r="K20" s="34">
        <v>13</v>
      </c>
      <c r="L20" s="34">
        <v>8</v>
      </c>
      <c r="M20" s="34">
        <v>451</v>
      </c>
      <c r="N20" s="34">
        <v>20</v>
      </c>
      <c r="O20" s="34">
        <v>15</v>
      </c>
      <c r="P20" s="34">
        <v>99</v>
      </c>
      <c r="Q20" s="34">
        <v>48</v>
      </c>
      <c r="R20" s="34">
        <v>19</v>
      </c>
      <c r="S20" s="34">
        <v>58</v>
      </c>
      <c r="T20" s="34">
        <v>65</v>
      </c>
      <c r="U20" s="34">
        <v>22</v>
      </c>
      <c r="V20" s="34">
        <v>118</v>
      </c>
      <c r="W20" s="34">
        <v>4</v>
      </c>
      <c r="X20" s="34">
        <v>2</v>
      </c>
      <c r="Y20" s="34">
        <v>68</v>
      </c>
      <c r="Z20" s="34">
        <v>94</v>
      </c>
      <c r="AA20" s="34">
        <v>33</v>
      </c>
      <c r="AB20" s="34">
        <v>46</v>
      </c>
      <c r="AC20" s="34" t="s">
        <v>100</v>
      </c>
      <c r="AD20" s="34">
        <v>71</v>
      </c>
      <c r="AE20" s="34">
        <v>87</v>
      </c>
      <c r="AF20" s="34">
        <v>34</v>
      </c>
      <c r="AG20" s="34">
        <v>62</v>
      </c>
      <c r="AH20" s="34" t="s">
        <v>100</v>
      </c>
      <c r="AI20" s="34">
        <v>74</v>
      </c>
      <c r="AJ20" s="34">
        <v>43</v>
      </c>
      <c r="AK20" s="34">
        <v>30</v>
      </c>
    </row>
    <row r="21" spans="1:37">
      <c r="A21" s="33" t="s">
        <v>97</v>
      </c>
      <c r="B21" s="33" t="s">
        <v>98</v>
      </c>
      <c r="C21" s="33" t="s">
        <v>61</v>
      </c>
      <c r="D21" s="33">
        <v>486</v>
      </c>
      <c r="E21" s="33">
        <v>28</v>
      </c>
      <c r="F21" s="33">
        <v>19</v>
      </c>
      <c r="G21" s="33">
        <v>271</v>
      </c>
      <c r="H21" s="33">
        <v>15</v>
      </c>
      <c r="I21" s="33">
        <v>9</v>
      </c>
      <c r="J21" s="33">
        <v>339</v>
      </c>
      <c r="K21" s="33">
        <v>19</v>
      </c>
      <c r="L21" s="33">
        <v>12</v>
      </c>
      <c r="M21" s="33">
        <v>449</v>
      </c>
      <c r="N21" s="33">
        <v>24</v>
      </c>
      <c r="O21" s="33">
        <v>19</v>
      </c>
      <c r="P21" s="33">
        <v>97</v>
      </c>
      <c r="Q21" s="33">
        <v>64</v>
      </c>
      <c r="R21" s="33">
        <v>25</v>
      </c>
      <c r="S21" s="33">
        <v>73</v>
      </c>
      <c r="T21" s="33">
        <v>28</v>
      </c>
      <c r="U21" s="33">
        <v>13</v>
      </c>
      <c r="V21" s="33">
        <v>101</v>
      </c>
      <c r="W21" s="33">
        <v>30</v>
      </c>
      <c r="X21" s="33">
        <v>16</v>
      </c>
      <c r="Y21" s="33">
        <v>68</v>
      </c>
      <c r="Z21" s="33">
        <v>94</v>
      </c>
      <c r="AA21" s="33">
        <v>33</v>
      </c>
      <c r="AB21" s="33">
        <v>50</v>
      </c>
      <c r="AC21" s="33" t="s">
        <v>100</v>
      </c>
      <c r="AD21" s="33">
        <v>76</v>
      </c>
      <c r="AE21" s="33">
        <v>52</v>
      </c>
      <c r="AF21" s="33">
        <v>22</v>
      </c>
      <c r="AG21" s="33">
        <v>60</v>
      </c>
      <c r="AH21" s="33" t="s">
        <v>100</v>
      </c>
      <c r="AI21" s="33">
        <v>71</v>
      </c>
      <c r="AJ21" s="33">
        <v>53</v>
      </c>
      <c r="AK21" s="33">
        <v>37</v>
      </c>
    </row>
    <row r="22" spans="1:37">
      <c r="A22" s="33" t="s">
        <v>97</v>
      </c>
      <c r="B22" s="33" t="s">
        <v>98</v>
      </c>
      <c r="C22" s="33" t="s">
        <v>60</v>
      </c>
      <c r="D22" s="33">
        <v>482</v>
      </c>
      <c r="E22" s="33">
        <v>30</v>
      </c>
      <c r="F22" s="33">
        <v>20</v>
      </c>
      <c r="G22" s="33">
        <v>248</v>
      </c>
      <c r="H22" s="33">
        <v>46</v>
      </c>
      <c r="I22" s="33">
        <v>25</v>
      </c>
      <c r="J22" s="33">
        <v>319</v>
      </c>
      <c r="K22" s="33">
        <v>45</v>
      </c>
      <c r="L22" s="33">
        <v>25</v>
      </c>
      <c r="M22" s="33">
        <v>442</v>
      </c>
      <c r="N22" s="33">
        <v>26</v>
      </c>
      <c r="O22" s="33">
        <v>20</v>
      </c>
      <c r="P22" s="33">
        <v>92</v>
      </c>
      <c r="Q22" s="33">
        <v>99</v>
      </c>
      <c r="R22" s="33">
        <v>38</v>
      </c>
      <c r="S22" s="33">
        <v>39</v>
      </c>
      <c r="T22" s="33">
        <v>135</v>
      </c>
      <c r="U22" s="33">
        <v>43</v>
      </c>
      <c r="V22" s="33">
        <v>117</v>
      </c>
      <c r="W22" s="33">
        <v>7</v>
      </c>
      <c r="X22" s="33">
        <v>5</v>
      </c>
      <c r="Y22" s="33">
        <v>71</v>
      </c>
      <c r="Z22" s="33">
        <v>63</v>
      </c>
      <c r="AA22" s="33">
        <v>26</v>
      </c>
      <c r="AB22" s="33">
        <v>57</v>
      </c>
      <c r="AC22" s="33" t="s">
        <v>99</v>
      </c>
      <c r="AD22" s="33">
        <v>84</v>
      </c>
      <c r="AE22" s="33">
        <v>14</v>
      </c>
      <c r="AF22" s="33">
        <v>8</v>
      </c>
      <c r="AG22" s="33">
        <v>66</v>
      </c>
      <c r="AH22" s="33" t="s">
        <v>100</v>
      </c>
      <c r="AI22" s="33">
        <v>79</v>
      </c>
      <c r="AJ22" s="33">
        <v>25</v>
      </c>
      <c r="AK22" s="33">
        <v>19</v>
      </c>
    </row>
    <row r="23" spans="1:37">
      <c r="A23" s="34" t="s">
        <v>97</v>
      </c>
      <c r="B23" s="34" t="s">
        <v>98</v>
      </c>
      <c r="C23" s="34" t="s">
        <v>59</v>
      </c>
      <c r="D23" s="34">
        <v>479</v>
      </c>
      <c r="E23" s="34">
        <v>32</v>
      </c>
      <c r="F23" s="34">
        <v>21</v>
      </c>
      <c r="G23" s="34">
        <v>247</v>
      </c>
      <c r="H23" s="34">
        <v>49</v>
      </c>
      <c r="I23" s="34">
        <v>26</v>
      </c>
      <c r="J23" s="34">
        <v>325</v>
      </c>
      <c r="K23" s="34">
        <v>39</v>
      </c>
      <c r="L23" s="34">
        <v>21</v>
      </c>
      <c r="M23" s="34">
        <v>440</v>
      </c>
      <c r="N23" s="34">
        <v>27</v>
      </c>
      <c r="O23" s="34">
        <v>21</v>
      </c>
      <c r="P23" s="34">
        <v>99</v>
      </c>
      <c r="Q23" s="34">
        <v>48</v>
      </c>
      <c r="R23" s="34">
        <v>19</v>
      </c>
      <c r="S23" s="34">
        <v>37</v>
      </c>
      <c r="T23" s="34">
        <v>141</v>
      </c>
      <c r="U23" s="34">
        <v>44</v>
      </c>
      <c r="V23" s="34">
        <v>111</v>
      </c>
      <c r="W23" s="34">
        <v>14</v>
      </c>
      <c r="X23" s="34">
        <v>9</v>
      </c>
      <c r="Y23" s="34">
        <v>78</v>
      </c>
      <c r="Z23" s="34">
        <v>18</v>
      </c>
      <c r="AA23" s="34">
        <v>8</v>
      </c>
      <c r="AB23" s="34">
        <v>51</v>
      </c>
      <c r="AC23" s="34" t="s">
        <v>100</v>
      </c>
      <c r="AD23" s="34">
        <v>77</v>
      </c>
      <c r="AE23" s="34">
        <v>41</v>
      </c>
      <c r="AF23" s="34">
        <v>18</v>
      </c>
      <c r="AG23" s="34">
        <v>64</v>
      </c>
      <c r="AH23" s="34" t="s">
        <v>100</v>
      </c>
      <c r="AI23" s="34">
        <v>77</v>
      </c>
      <c r="AJ23" s="34">
        <v>33</v>
      </c>
      <c r="AK23" s="34">
        <v>24</v>
      </c>
    </row>
    <row r="24" spans="1:37">
      <c r="A24" s="33" t="s">
        <v>97</v>
      </c>
      <c r="B24" s="33" t="s">
        <v>98</v>
      </c>
      <c r="C24" s="33" t="s">
        <v>58</v>
      </c>
      <c r="D24" s="33">
        <v>472</v>
      </c>
      <c r="E24" s="33">
        <v>36</v>
      </c>
      <c r="F24" s="33">
        <v>22</v>
      </c>
      <c r="G24" s="33">
        <v>261</v>
      </c>
      <c r="H24" s="33">
        <v>25</v>
      </c>
      <c r="I24" s="33">
        <v>13</v>
      </c>
      <c r="J24" s="33">
        <v>330</v>
      </c>
      <c r="K24" s="33">
        <v>28</v>
      </c>
      <c r="L24" s="33">
        <v>15</v>
      </c>
      <c r="M24" s="33">
        <v>435</v>
      </c>
      <c r="N24" s="33">
        <v>32</v>
      </c>
      <c r="O24" s="33">
        <v>22</v>
      </c>
      <c r="P24" s="33">
        <v>100</v>
      </c>
      <c r="Q24" s="33">
        <v>42</v>
      </c>
      <c r="R24" s="33">
        <v>16</v>
      </c>
      <c r="S24" s="33">
        <v>93</v>
      </c>
      <c r="T24" s="33">
        <v>6</v>
      </c>
      <c r="U24" s="33">
        <v>4</v>
      </c>
      <c r="V24" s="33">
        <v>68</v>
      </c>
      <c r="W24" s="33">
        <v>121</v>
      </c>
      <c r="X24" s="33">
        <v>46</v>
      </c>
      <c r="Y24" s="33">
        <v>69</v>
      </c>
      <c r="Z24" s="33">
        <v>83</v>
      </c>
      <c r="AA24" s="33">
        <v>32</v>
      </c>
      <c r="AB24" s="33">
        <v>47</v>
      </c>
      <c r="AC24" s="33" t="s">
        <v>100</v>
      </c>
      <c r="AD24" s="33">
        <v>72</v>
      </c>
      <c r="AE24" s="33">
        <v>76</v>
      </c>
      <c r="AF24" s="33">
        <v>31</v>
      </c>
      <c r="AG24" s="33">
        <v>58</v>
      </c>
      <c r="AH24" s="33" t="s">
        <v>102</v>
      </c>
      <c r="AI24" s="33">
        <v>70</v>
      </c>
      <c r="AJ24" s="33">
        <v>60</v>
      </c>
      <c r="AK24" s="33">
        <v>40</v>
      </c>
    </row>
    <row r="25" spans="1:37">
      <c r="A25" s="34" t="s">
        <v>97</v>
      </c>
      <c r="B25" s="34" t="s">
        <v>98</v>
      </c>
      <c r="C25" s="34" t="s">
        <v>57</v>
      </c>
      <c r="D25" s="34">
        <v>471</v>
      </c>
      <c r="E25" s="34">
        <v>37</v>
      </c>
      <c r="F25" s="34">
        <v>23</v>
      </c>
      <c r="G25" s="34">
        <v>245</v>
      </c>
      <c r="H25" s="34">
        <v>54</v>
      </c>
      <c r="I25" s="34">
        <v>28</v>
      </c>
      <c r="J25" s="34">
        <v>325</v>
      </c>
      <c r="K25" s="34">
        <v>39</v>
      </c>
      <c r="L25" s="34">
        <v>21</v>
      </c>
      <c r="M25" s="34">
        <v>433</v>
      </c>
      <c r="N25" s="34">
        <v>33</v>
      </c>
      <c r="O25" s="34">
        <v>23</v>
      </c>
      <c r="P25" s="34">
        <v>91</v>
      </c>
      <c r="Q25" s="34">
        <v>109</v>
      </c>
      <c r="R25" s="34">
        <v>39</v>
      </c>
      <c r="S25" s="34">
        <v>72</v>
      </c>
      <c r="T25" s="34">
        <v>30</v>
      </c>
      <c r="U25" s="34">
        <v>14</v>
      </c>
      <c r="V25" s="34">
        <v>82</v>
      </c>
      <c r="W25" s="34">
        <v>87</v>
      </c>
      <c r="X25" s="34">
        <v>34</v>
      </c>
      <c r="Y25" s="34">
        <v>80</v>
      </c>
      <c r="Z25" s="34">
        <v>11</v>
      </c>
      <c r="AA25" s="34">
        <v>4</v>
      </c>
      <c r="AB25" s="34">
        <v>40</v>
      </c>
      <c r="AC25" s="34" t="s">
        <v>102</v>
      </c>
      <c r="AD25" s="34">
        <v>64</v>
      </c>
      <c r="AE25" s="34">
        <v>147</v>
      </c>
      <c r="AF25" s="34">
        <v>47</v>
      </c>
      <c r="AG25" s="34">
        <v>68</v>
      </c>
      <c r="AH25" s="34" t="s">
        <v>100</v>
      </c>
      <c r="AI25" s="34">
        <v>82</v>
      </c>
      <c r="AJ25" s="34">
        <v>16</v>
      </c>
      <c r="AK25" s="34">
        <v>12</v>
      </c>
    </row>
    <row r="26" spans="1:37">
      <c r="A26" s="34" t="s">
        <v>97</v>
      </c>
      <c r="B26" s="34" t="s">
        <v>98</v>
      </c>
      <c r="C26" s="34" t="s">
        <v>56</v>
      </c>
      <c r="D26" s="34">
        <v>469</v>
      </c>
      <c r="E26" s="34">
        <v>38</v>
      </c>
      <c r="F26" s="34">
        <v>24</v>
      </c>
      <c r="G26" s="34">
        <v>251</v>
      </c>
      <c r="H26" s="34">
        <v>41</v>
      </c>
      <c r="I26" s="34">
        <v>23</v>
      </c>
      <c r="J26" s="34">
        <v>318</v>
      </c>
      <c r="K26" s="34">
        <v>48</v>
      </c>
      <c r="L26" s="34">
        <v>27</v>
      </c>
      <c r="M26" s="34">
        <v>433</v>
      </c>
      <c r="N26" s="34">
        <v>33</v>
      </c>
      <c r="O26" s="34">
        <v>23</v>
      </c>
      <c r="P26" s="34">
        <v>91</v>
      </c>
      <c r="Q26" s="34">
        <v>109</v>
      </c>
      <c r="R26" s="34">
        <v>39</v>
      </c>
      <c r="S26" s="34">
        <v>47</v>
      </c>
      <c r="T26" s="34">
        <v>106</v>
      </c>
      <c r="U26" s="34">
        <v>37</v>
      </c>
      <c r="V26" s="34">
        <v>113</v>
      </c>
      <c r="W26" s="34">
        <v>8</v>
      </c>
      <c r="X26" s="34">
        <v>6</v>
      </c>
      <c r="Y26" s="34">
        <v>67</v>
      </c>
      <c r="Z26" s="34">
        <v>107</v>
      </c>
      <c r="AA26" s="34">
        <v>37</v>
      </c>
      <c r="AB26" s="34">
        <v>59</v>
      </c>
      <c r="AC26" s="34" t="s">
        <v>99</v>
      </c>
      <c r="AD26" s="34">
        <v>85</v>
      </c>
      <c r="AE26" s="34">
        <v>7</v>
      </c>
      <c r="AF26" s="34">
        <v>5</v>
      </c>
      <c r="AG26" s="34">
        <v>56</v>
      </c>
      <c r="AH26" s="34" t="s">
        <v>102</v>
      </c>
      <c r="AI26" s="34">
        <v>66</v>
      </c>
      <c r="AJ26" s="34">
        <v>72</v>
      </c>
      <c r="AK26" s="34">
        <v>45</v>
      </c>
    </row>
    <row r="27" spans="1:37">
      <c r="A27" s="33" t="s">
        <v>97</v>
      </c>
      <c r="B27" s="33" t="s">
        <v>98</v>
      </c>
      <c r="C27" s="33" t="s">
        <v>54</v>
      </c>
      <c r="D27" s="33">
        <v>466</v>
      </c>
      <c r="E27" s="33">
        <v>43</v>
      </c>
      <c r="F27" s="33">
        <v>25</v>
      </c>
      <c r="G27" s="33">
        <v>230</v>
      </c>
      <c r="H27" s="33">
        <v>82</v>
      </c>
      <c r="I27" s="33">
        <v>38</v>
      </c>
      <c r="J27" s="33">
        <v>295</v>
      </c>
      <c r="K27" s="33">
        <v>91</v>
      </c>
      <c r="L27" s="33">
        <v>39</v>
      </c>
      <c r="M27" s="33">
        <v>428</v>
      </c>
      <c r="N27" s="33">
        <v>39</v>
      </c>
      <c r="O27" s="33">
        <v>26</v>
      </c>
      <c r="P27" s="33">
        <v>86</v>
      </c>
      <c r="Q27" s="33">
        <v>143</v>
      </c>
      <c r="R27" s="33">
        <v>46</v>
      </c>
      <c r="S27" s="33">
        <v>63</v>
      </c>
      <c r="T27" s="33">
        <v>51</v>
      </c>
      <c r="U27" s="33">
        <v>19</v>
      </c>
      <c r="V27" s="33">
        <v>81</v>
      </c>
      <c r="W27" s="33">
        <v>90</v>
      </c>
      <c r="X27" s="33">
        <v>36</v>
      </c>
      <c r="Y27" s="33">
        <v>65</v>
      </c>
      <c r="Z27" s="33">
        <v>123</v>
      </c>
      <c r="AA27" s="33">
        <v>42</v>
      </c>
      <c r="AB27" s="33">
        <v>59</v>
      </c>
      <c r="AC27" s="33" t="s">
        <v>99</v>
      </c>
      <c r="AD27" s="33">
        <v>85</v>
      </c>
      <c r="AE27" s="33">
        <v>7</v>
      </c>
      <c r="AF27" s="33">
        <v>5</v>
      </c>
      <c r="AG27" s="33">
        <v>74</v>
      </c>
      <c r="AH27" s="33" t="s">
        <v>99</v>
      </c>
      <c r="AI27" s="33">
        <v>86</v>
      </c>
      <c r="AJ27" s="33">
        <v>3</v>
      </c>
      <c r="AK27" s="33">
        <v>3</v>
      </c>
    </row>
    <row r="28" spans="1:37">
      <c r="A28" s="33" t="s">
        <v>97</v>
      </c>
      <c r="B28" s="33" t="s">
        <v>98</v>
      </c>
      <c r="C28" s="33" t="s">
        <v>55</v>
      </c>
      <c r="D28" s="33">
        <v>466</v>
      </c>
      <c r="E28" s="33">
        <v>43</v>
      </c>
      <c r="F28" s="33">
        <v>25</v>
      </c>
      <c r="G28" s="33">
        <v>243</v>
      </c>
      <c r="H28" s="33">
        <v>57</v>
      </c>
      <c r="I28" s="33">
        <v>30</v>
      </c>
      <c r="J28" s="33">
        <v>322</v>
      </c>
      <c r="K28" s="33">
        <v>41</v>
      </c>
      <c r="L28" s="33">
        <v>23</v>
      </c>
      <c r="M28" s="33">
        <v>429</v>
      </c>
      <c r="N28" s="33">
        <v>37</v>
      </c>
      <c r="O28" s="33">
        <v>25</v>
      </c>
      <c r="P28" s="33">
        <v>101</v>
      </c>
      <c r="Q28" s="33">
        <v>38</v>
      </c>
      <c r="R28" s="33">
        <v>15</v>
      </c>
      <c r="S28" s="33">
        <v>52</v>
      </c>
      <c r="T28" s="33">
        <v>81</v>
      </c>
      <c r="U28" s="33">
        <v>28</v>
      </c>
      <c r="V28" s="33">
        <v>90</v>
      </c>
      <c r="W28" s="33">
        <v>55</v>
      </c>
      <c r="X28" s="33">
        <v>24</v>
      </c>
      <c r="Y28" s="33">
        <v>79</v>
      </c>
      <c r="Z28" s="33">
        <v>15</v>
      </c>
      <c r="AA28" s="33">
        <v>6</v>
      </c>
      <c r="AB28" s="33">
        <v>45</v>
      </c>
      <c r="AC28" s="33" t="s">
        <v>102</v>
      </c>
      <c r="AD28" s="33">
        <v>70</v>
      </c>
      <c r="AE28" s="33">
        <v>99</v>
      </c>
      <c r="AF28" s="33">
        <v>37</v>
      </c>
      <c r="AG28" s="33">
        <v>62</v>
      </c>
      <c r="AH28" s="33" t="s">
        <v>100</v>
      </c>
      <c r="AI28" s="33">
        <v>74</v>
      </c>
      <c r="AJ28" s="33">
        <v>43</v>
      </c>
      <c r="AK28" s="33">
        <v>30</v>
      </c>
    </row>
    <row r="29" spans="1:37">
      <c r="A29" s="34" t="s">
        <v>97</v>
      </c>
      <c r="B29" s="34" t="s">
        <v>98</v>
      </c>
      <c r="C29" s="34" t="s">
        <v>53</v>
      </c>
      <c r="D29" s="34">
        <v>462</v>
      </c>
      <c r="E29" s="34">
        <v>48</v>
      </c>
      <c r="F29" s="34">
        <v>27</v>
      </c>
      <c r="G29" s="34">
        <v>226</v>
      </c>
      <c r="H29" s="34">
        <v>91</v>
      </c>
      <c r="I29" s="34">
        <v>41</v>
      </c>
      <c r="J29" s="34">
        <v>309</v>
      </c>
      <c r="K29" s="34">
        <v>64</v>
      </c>
      <c r="L29" s="34">
        <v>33</v>
      </c>
      <c r="M29" s="34">
        <v>423</v>
      </c>
      <c r="N29" s="34">
        <v>43</v>
      </c>
      <c r="O29" s="34">
        <v>28</v>
      </c>
      <c r="P29" s="34">
        <v>107</v>
      </c>
      <c r="Q29" s="34">
        <v>10</v>
      </c>
      <c r="R29" s="34">
        <v>5</v>
      </c>
      <c r="S29" s="34">
        <v>45</v>
      </c>
      <c r="T29" s="34">
        <v>112</v>
      </c>
      <c r="U29" s="34">
        <v>38</v>
      </c>
      <c r="V29" s="34">
        <v>74</v>
      </c>
      <c r="W29" s="34">
        <v>107</v>
      </c>
      <c r="X29" s="34">
        <v>42</v>
      </c>
      <c r="Y29" s="34">
        <v>83</v>
      </c>
      <c r="Z29" s="34">
        <v>4</v>
      </c>
      <c r="AA29" s="34">
        <v>1</v>
      </c>
      <c r="AB29" s="34">
        <v>50</v>
      </c>
      <c r="AC29" s="34" t="s">
        <v>100</v>
      </c>
      <c r="AD29" s="34">
        <v>76</v>
      </c>
      <c r="AE29" s="34">
        <v>52</v>
      </c>
      <c r="AF29" s="34">
        <v>22</v>
      </c>
      <c r="AG29" s="34">
        <v>64</v>
      </c>
      <c r="AH29" s="34" t="s">
        <v>100</v>
      </c>
      <c r="AI29" s="34">
        <v>77</v>
      </c>
      <c r="AJ29" s="34">
        <v>33</v>
      </c>
      <c r="AK29" s="34">
        <v>24</v>
      </c>
    </row>
    <row r="30" spans="1:37">
      <c r="A30" s="33" t="s">
        <v>97</v>
      </c>
      <c r="B30" s="33" t="s">
        <v>98</v>
      </c>
      <c r="C30" s="33" t="s">
        <v>52</v>
      </c>
      <c r="D30" s="33">
        <v>461</v>
      </c>
      <c r="E30" s="33">
        <v>49</v>
      </c>
      <c r="F30" s="33">
        <v>28</v>
      </c>
      <c r="G30" s="33">
        <v>241</v>
      </c>
      <c r="H30" s="33">
        <v>62</v>
      </c>
      <c r="I30" s="33">
        <v>31</v>
      </c>
      <c r="J30" s="33">
        <v>319</v>
      </c>
      <c r="K30" s="33">
        <v>45</v>
      </c>
      <c r="L30" s="33">
        <v>25</v>
      </c>
      <c r="M30" s="33">
        <v>424</v>
      </c>
      <c r="N30" s="33">
        <v>42</v>
      </c>
      <c r="O30" s="33">
        <v>27</v>
      </c>
      <c r="P30" s="33">
        <v>94</v>
      </c>
      <c r="Q30" s="33">
        <v>87</v>
      </c>
      <c r="R30" s="33">
        <v>34</v>
      </c>
      <c r="S30" s="33">
        <v>53</v>
      </c>
      <c r="T30" s="33">
        <v>78</v>
      </c>
      <c r="U30" s="33">
        <v>26</v>
      </c>
      <c r="V30" s="33">
        <v>94</v>
      </c>
      <c r="W30" s="33">
        <v>43</v>
      </c>
      <c r="X30" s="33">
        <v>21</v>
      </c>
      <c r="Y30" s="33">
        <v>78</v>
      </c>
      <c r="Z30" s="33">
        <v>18</v>
      </c>
      <c r="AA30" s="33">
        <v>8</v>
      </c>
      <c r="AB30" s="33">
        <v>47</v>
      </c>
      <c r="AC30" s="33" t="s">
        <v>100</v>
      </c>
      <c r="AD30" s="33">
        <v>72</v>
      </c>
      <c r="AE30" s="33">
        <v>76</v>
      </c>
      <c r="AF30" s="33">
        <v>31</v>
      </c>
      <c r="AG30" s="33">
        <v>58</v>
      </c>
      <c r="AH30" s="33" t="s">
        <v>102</v>
      </c>
      <c r="AI30" s="33">
        <v>70</v>
      </c>
      <c r="AJ30" s="33">
        <v>60</v>
      </c>
      <c r="AK30" s="33">
        <v>40</v>
      </c>
    </row>
    <row r="31" spans="1:37">
      <c r="A31" s="34" t="s">
        <v>97</v>
      </c>
      <c r="B31" s="34" t="s">
        <v>98</v>
      </c>
      <c r="C31" s="34" t="s">
        <v>51</v>
      </c>
      <c r="D31" s="34">
        <v>460</v>
      </c>
      <c r="E31" s="34">
        <v>50</v>
      </c>
      <c r="F31" s="34">
        <v>29</v>
      </c>
      <c r="G31" s="34">
        <v>246</v>
      </c>
      <c r="H31" s="34">
        <v>52</v>
      </c>
      <c r="I31" s="34">
        <v>27</v>
      </c>
      <c r="J31" s="34">
        <v>316</v>
      </c>
      <c r="K31" s="34">
        <v>52</v>
      </c>
      <c r="L31" s="34">
        <v>29</v>
      </c>
      <c r="M31" s="34">
        <v>423</v>
      </c>
      <c r="N31" s="34">
        <v>43</v>
      </c>
      <c r="O31" s="34">
        <v>28</v>
      </c>
      <c r="P31" s="34">
        <v>112</v>
      </c>
      <c r="Q31" s="34">
        <v>2</v>
      </c>
      <c r="R31" s="34">
        <v>2</v>
      </c>
      <c r="S31" s="34">
        <v>44</v>
      </c>
      <c r="T31" s="34">
        <v>118</v>
      </c>
      <c r="U31" s="34">
        <v>39</v>
      </c>
      <c r="V31" s="34">
        <v>90</v>
      </c>
      <c r="W31" s="34">
        <v>55</v>
      </c>
      <c r="X31" s="34">
        <v>24</v>
      </c>
      <c r="Y31" s="34">
        <v>70</v>
      </c>
      <c r="Z31" s="34">
        <v>71</v>
      </c>
      <c r="AA31" s="34">
        <v>29</v>
      </c>
      <c r="AB31" s="34">
        <v>45</v>
      </c>
      <c r="AC31" s="34" t="s">
        <v>102</v>
      </c>
      <c r="AD31" s="34">
        <v>70</v>
      </c>
      <c r="AE31" s="34">
        <v>99</v>
      </c>
      <c r="AF31" s="34">
        <v>37</v>
      </c>
      <c r="AG31" s="34">
        <v>62</v>
      </c>
      <c r="AH31" s="34" t="s">
        <v>100</v>
      </c>
      <c r="AI31" s="34">
        <v>74</v>
      </c>
      <c r="AJ31" s="34">
        <v>43</v>
      </c>
      <c r="AK31" s="34">
        <v>30</v>
      </c>
    </row>
    <row r="32" spans="1:37">
      <c r="A32" s="34" t="s">
        <v>97</v>
      </c>
      <c r="B32" s="34" t="s">
        <v>98</v>
      </c>
      <c r="C32" s="34" t="s">
        <v>50</v>
      </c>
      <c r="D32" s="34">
        <v>459</v>
      </c>
      <c r="E32" s="34">
        <v>51</v>
      </c>
      <c r="F32" s="34">
        <v>30</v>
      </c>
      <c r="G32" s="34">
        <v>229</v>
      </c>
      <c r="H32" s="34">
        <v>85</v>
      </c>
      <c r="I32" s="34">
        <v>40</v>
      </c>
      <c r="J32" s="34">
        <v>300</v>
      </c>
      <c r="K32" s="34">
        <v>83</v>
      </c>
      <c r="L32" s="34">
        <v>37</v>
      </c>
      <c r="M32" s="34">
        <v>419</v>
      </c>
      <c r="N32" s="34">
        <v>47</v>
      </c>
      <c r="O32" s="34">
        <v>30</v>
      </c>
      <c r="P32" s="34">
        <v>97</v>
      </c>
      <c r="Q32" s="34">
        <v>64</v>
      </c>
      <c r="R32" s="34">
        <v>25</v>
      </c>
      <c r="S32" s="34">
        <v>57</v>
      </c>
      <c r="T32" s="34">
        <v>70</v>
      </c>
      <c r="U32" s="34">
        <v>23</v>
      </c>
      <c r="V32" s="34">
        <v>75</v>
      </c>
      <c r="W32" s="34">
        <v>106</v>
      </c>
      <c r="X32" s="34">
        <v>41</v>
      </c>
      <c r="Y32" s="34">
        <v>71</v>
      </c>
      <c r="Z32" s="34">
        <v>63</v>
      </c>
      <c r="AA32" s="34">
        <v>26</v>
      </c>
      <c r="AB32" s="34">
        <v>51</v>
      </c>
      <c r="AC32" s="34" t="s">
        <v>100</v>
      </c>
      <c r="AD32" s="34">
        <v>77</v>
      </c>
      <c r="AE32" s="34">
        <v>41</v>
      </c>
      <c r="AF32" s="34">
        <v>18</v>
      </c>
      <c r="AG32" s="34">
        <v>68</v>
      </c>
      <c r="AH32" s="34" t="s">
        <v>100</v>
      </c>
      <c r="AI32" s="34">
        <v>82</v>
      </c>
      <c r="AJ32" s="34">
        <v>16</v>
      </c>
      <c r="AK32" s="34">
        <v>12</v>
      </c>
    </row>
    <row r="33" spans="1:37">
      <c r="A33" s="34" t="s">
        <v>97</v>
      </c>
      <c r="B33" s="34" t="s">
        <v>98</v>
      </c>
      <c r="C33" s="34" t="s">
        <v>49</v>
      </c>
      <c r="D33" s="34">
        <v>454</v>
      </c>
      <c r="E33" s="34">
        <v>56</v>
      </c>
      <c r="F33" s="34">
        <v>31</v>
      </c>
      <c r="G33" s="34">
        <v>234</v>
      </c>
      <c r="H33" s="34">
        <v>72</v>
      </c>
      <c r="I33" s="34">
        <v>33</v>
      </c>
      <c r="J33" s="34">
        <v>310</v>
      </c>
      <c r="K33" s="34">
        <v>61</v>
      </c>
      <c r="L33" s="34">
        <v>32</v>
      </c>
      <c r="M33" s="34">
        <v>417</v>
      </c>
      <c r="N33" s="34">
        <v>50</v>
      </c>
      <c r="O33" s="34">
        <v>31</v>
      </c>
      <c r="P33" s="34">
        <v>93</v>
      </c>
      <c r="Q33" s="34">
        <v>91</v>
      </c>
      <c r="R33" s="34">
        <v>37</v>
      </c>
      <c r="S33" s="34">
        <v>51</v>
      </c>
      <c r="T33" s="34">
        <v>88</v>
      </c>
      <c r="U33" s="34">
        <v>30</v>
      </c>
      <c r="V33" s="34">
        <v>90</v>
      </c>
      <c r="W33" s="34">
        <v>55</v>
      </c>
      <c r="X33" s="34">
        <v>24</v>
      </c>
      <c r="Y33" s="34">
        <v>76</v>
      </c>
      <c r="Z33" s="34">
        <v>32</v>
      </c>
      <c r="AA33" s="34">
        <v>17</v>
      </c>
      <c r="AB33" s="34">
        <v>45</v>
      </c>
      <c r="AC33" s="34" t="s">
        <v>102</v>
      </c>
      <c r="AD33" s="34">
        <v>70</v>
      </c>
      <c r="AE33" s="34">
        <v>99</v>
      </c>
      <c r="AF33" s="34">
        <v>37</v>
      </c>
      <c r="AG33" s="34">
        <v>62</v>
      </c>
      <c r="AH33" s="34" t="s">
        <v>100</v>
      </c>
      <c r="AI33" s="34">
        <v>74</v>
      </c>
      <c r="AJ33" s="34">
        <v>43</v>
      </c>
      <c r="AK33" s="34">
        <v>30</v>
      </c>
    </row>
    <row r="34" spans="1:37">
      <c r="A34" s="34" t="s">
        <v>97</v>
      </c>
      <c r="B34" s="34" t="s">
        <v>98</v>
      </c>
      <c r="C34" s="34" t="s">
        <v>48</v>
      </c>
      <c r="D34" s="34">
        <v>454</v>
      </c>
      <c r="E34" s="34">
        <v>56</v>
      </c>
      <c r="F34" s="34">
        <v>31</v>
      </c>
      <c r="G34" s="34">
        <v>232</v>
      </c>
      <c r="H34" s="34">
        <v>77</v>
      </c>
      <c r="I34" s="34">
        <v>36</v>
      </c>
      <c r="J34" s="34">
        <v>300</v>
      </c>
      <c r="K34" s="34">
        <v>83</v>
      </c>
      <c r="L34" s="34">
        <v>37</v>
      </c>
      <c r="M34" s="34">
        <v>415</v>
      </c>
      <c r="N34" s="34">
        <v>54</v>
      </c>
      <c r="O34" s="34">
        <v>32</v>
      </c>
      <c r="P34" s="34">
        <v>96</v>
      </c>
      <c r="Q34" s="34">
        <v>73</v>
      </c>
      <c r="R34" s="34">
        <v>30</v>
      </c>
      <c r="S34" s="34">
        <v>67</v>
      </c>
      <c r="T34" s="34">
        <v>42</v>
      </c>
      <c r="U34" s="34">
        <v>17</v>
      </c>
      <c r="V34" s="34">
        <v>69</v>
      </c>
      <c r="W34" s="34">
        <v>118</v>
      </c>
      <c r="X34" s="34">
        <v>45</v>
      </c>
      <c r="Y34" s="34">
        <v>68</v>
      </c>
      <c r="Z34" s="34">
        <v>94</v>
      </c>
      <c r="AA34" s="34">
        <v>33</v>
      </c>
      <c r="AB34" s="34">
        <v>51</v>
      </c>
      <c r="AC34" s="34" t="s">
        <v>100</v>
      </c>
      <c r="AD34" s="34">
        <v>77</v>
      </c>
      <c r="AE34" s="34">
        <v>41</v>
      </c>
      <c r="AF34" s="34">
        <v>18</v>
      </c>
      <c r="AG34" s="34">
        <v>64</v>
      </c>
      <c r="AH34" s="34" t="s">
        <v>100</v>
      </c>
      <c r="AI34" s="34">
        <v>77</v>
      </c>
      <c r="AJ34" s="34">
        <v>33</v>
      </c>
      <c r="AK34" s="34">
        <v>24</v>
      </c>
    </row>
    <row r="35" spans="1:37">
      <c r="A35" s="33" t="s">
        <v>97</v>
      </c>
      <c r="B35" s="33" t="s">
        <v>98</v>
      </c>
      <c r="C35" s="33" t="s">
        <v>46</v>
      </c>
      <c r="D35" s="33">
        <v>449</v>
      </c>
      <c r="E35" s="33">
        <v>67</v>
      </c>
      <c r="F35" s="33">
        <v>33</v>
      </c>
      <c r="G35" s="33">
        <v>214</v>
      </c>
      <c r="H35" s="33">
        <v>125</v>
      </c>
      <c r="I35" s="33">
        <v>47</v>
      </c>
      <c r="J35" s="33">
        <v>290</v>
      </c>
      <c r="K35" s="33">
        <v>100</v>
      </c>
      <c r="L35" s="33">
        <v>42</v>
      </c>
      <c r="M35" s="33">
        <v>409</v>
      </c>
      <c r="N35" s="33">
        <v>62</v>
      </c>
      <c r="O35" s="33">
        <v>35</v>
      </c>
      <c r="P35" s="33">
        <v>96</v>
      </c>
      <c r="Q35" s="33">
        <v>73</v>
      </c>
      <c r="R35" s="33">
        <v>30</v>
      </c>
      <c r="S35" s="33">
        <v>12</v>
      </c>
      <c r="T35" s="33">
        <v>194</v>
      </c>
      <c r="U35" s="33">
        <v>54</v>
      </c>
      <c r="V35" s="33">
        <v>106</v>
      </c>
      <c r="W35" s="33">
        <v>23</v>
      </c>
      <c r="X35" s="33">
        <v>14</v>
      </c>
      <c r="Y35" s="33">
        <v>76</v>
      </c>
      <c r="Z35" s="33">
        <v>32</v>
      </c>
      <c r="AA35" s="33">
        <v>17</v>
      </c>
      <c r="AB35" s="33">
        <v>53</v>
      </c>
      <c r="AC35" s="33" t="s">
        <v>100</v>
      </c>
      <c r="AD35" s="33">
        <v>80</v>
      </c>
      <c r="AE35" s="33">
        <v>28</v>
      </c>
      <c r="AF35" s="33">
        <v>13</v>
      </c>
      <c r="AG35" s="33">
        <v>66</v>
      </c>
      <c r="AH35" s="33" t="s">
        <v>100</v>
      </c>
      <c r="AI35" s="33">
        <v>79</v>
      </c>
      <c r="AJ35" s="33">
        <v>25</v>
      </c>
      <c r="AK35" s="33">
        <v>19</v>
      </c>
    </row>
    <row r="36" spans="1:37">
      <c r="A36" s="34" t="s">
        <v>97</v>
      </c>
      <c r="B36" s="34" t="s">
        <v>98</v>
      </c>
      <c r="C36" s="34" t="s">
        <v>45</v>
      </c>
      <c r="D36" s="34">
        <v>449</v>
      </c>
      <c r="E36" s="34">
        <v>67</v>
      </c>
      <c r="F36" s="34">
        <v>33</v>
      </c>
      <c r="G36" s="34">
        <v>255</v>
      </c>
      <c r="H36" s="34">
        <v>36</v>
      </c>
      <c r="I36" s="34">
        <v>20</v>
      </c>
      <c r="J36" s="34">
        <v>318</v>
      </c>
      <c r="K36" s="34">
        <v>48</v>
      </c>
      <c r="L36" s="34">
        <v>27</v>
      </c>
      <c r="M36" s="34">
        <v>414</v>
      </c>
      <c r="N36" s="34">
        <v>55</v>
      </c>
      <c r="O36" s="34">
        <v>33</v>
      </c>
      <c r="P36" s="34">
        <v>104</v>
      </c>
      <c r="Q36" s="34">
        <v>19</v>
      </c>
      <c r="R36" s="34">
        <v>10</v>
      </c>
      <c r="S36" s="34">
        <v>48</v>
      </c>
      <c r="T36" s="34">
        <v>99</v>
      </c>
      <c r="U36" s="34">
        <v>35</v>
      </c>
      <c r="V36" s="34">
        <v>103</v>
      </c>
      <c r="W36" s="34">
        <v>25</v>
      </c>
      <c r="X36" s="34">
        <v>15</v>
      </c>
      <c r="Y36" s="34">
        <v>63</v>
      </c>
      <c r="Z36" s="34">
        <v>139</v>
      </c>
      <c r="AA36" s="34">
        <v>45</v>
      </c>
      <c r="AB36" s="34">
        <v>38</v>
      </c>
      <c r="AC36" s="34" t="s">
        <v>102</v>
      </c>
      <c r="AD36" s="34">
        <v>61</v>
      </c>
      <c r="AE36" s="34">
        <v>156</v>
      </c>
      <c r="AF36" s="34">
        <v>49</v>
      </c>
      <c r="AG36" s="34">
        <v>58</v>
      </c>
      <c r="AH36" s="34" t="s">
        <v>102</v>
      </c>
      <c r="AI36" s="34">
        <v>70</v>
      </c>
      <c r="AJ36" s="34">
        <v>60</v>
      </c>
      <c r="AK36" s="34">
        <v>40</v>
      </c>
    </row>
    <row r="37" spans="1:37">
      <c r="A37" s="33" t="s">
        <v>97</v>
      </c>
      <c r="B37" s="33" t="s">
        <v>98</v>
      </c>
      <c r="C37" s="33" t="s">
        <v>47</v>
      </c>
      <c r="D37" s="33">
        <v>449</v>
      </c>
      <c r="E37" s="33">
        <v>67</v>
      </c>
      <c r="F37" s="33">
        <v>33</v>
      </c>
      <c r="G37" s="33">
        <v>251</v>
      </c>
      <c r="H37" s="33">
        <v>41</v>
      </c>
      <c r="I37" s="33">
        <v>23</v>
      </c>
      <c r="J37" s="33">
        <v>311</v>
      </c>
      <c r="K37" s="33">
        <v>59</v>
      </c>
      <c r="L37" s="33">
        <v>31</v>
      </c>
      <c r="M37" s="33">
        <v>414</v>
      </c>
      <c r="N37" s="33">
        <v>55</v>
      </c>
      <c r="O37" s="33">
        <v>33</v>
      </c>
      <c r="P37" s="33">
        <v>83</v>
      </c>
      <c r="Q37" s="33">
        <v>164</v>
      </c>
      <c r="R37" s="33">
        <v>51</v>
      </c>
      <c r="S37" s="33">
        <v>61</v>
      </c>
      <c r="T37" s="33">
        <v>56</v>
      </c>
      <c r="U37" s="33">
        <v>20</v>
      </c>
      <c r="V37" s="33">
        <v>107</v>
      </c>
      <c r="W37" s="33">
        <v>22</v>
      </c>
      <c r="X37" s="33">
        <v>13</v>
      </c>
      <c r="Y37" s="33">
        <v>60</v>
      </c>
      <c r="Z37" s="33">
        <v>160</v>
      </c>
      <c r="AA37" s="33">
        <v>51</v>
      </c>
      <c r="AB37" s="33">
        <v>47</v>
      </c>
      <c r="AC37" s="33" t="s">
        <v>100</v>
      </c>
      <c r="AD37" s="33">
        <v>72</v>
      </c>
      <c r="AE37" s="33">
        <v>76</v>
      </c>
      <c r="AF37" s="33">
        <v>31</v>
      </c>
      <c r="AG37" s="33">
        <v>56</v>
      </c>
      <c r="AH37" s="33" t="s">
        <v>102</v>
      </c>
      <c r="AI37" s="33">
        <v>66</v>
      </c>
      <c r="AJ37" s="33">
        <v>72</v>
      </c>
      <c r="AK37" s="33">
        <v>45</v>
      </c>
    </row>
    <row r="38" spans="1:37">
      <c r="A38" s="33" t="s">
        <v>97</v>
      </c>
      <c r="B38" s="33" t="s">
        <v>98</v>
      </c>
      <c r="C38" s="33" t="s">
        <v>44</v>
      </c>
      <c r="D38" s="33">
        <v>445</v>
      </c>
      <c r="E38" s="33">
        <v>73</v>
      </c>
      <c r="F38" s="33">
        <v>36</v>
      </c>
      <c r="G38" s="33">
        <v>232</v>
      </c>
      <c r="H38" s="33">
        <v>77</v>
      </c>
      <c r="I38" s="33">
        <v>36</v>
      </c>
      <c r="J38" s="33">
        <v>307</v>
      </c>
      <c r="K38" s="33">
        <v>70</v>
      </c>
      <c r="L38" s="33">
        <v>34</v>
      </c>
      <c r="M38" s="33">
        <v>408</v>
      </c>
      <c r="N38" s="33">
        <v>64</v>
      </c>
      <c r="O38" s="33">
        <v>37</v>
      </c>
      <c r="P38" s="33">
        <v>102</v>
      </c>
      <c r="Q38" s="33">
        <v>32</v>
      </c>
      <c r="R38" s="33">
        <v>13</v>
      </c>
      <c r="S38" s="33">
        <v>54</v>
      </c>
      <c r="T38" s="33">
        <v>76</v>
      </c>
      <c r="U38" s="33">
        <v>24</v>
      </c>
      <c r="V38" s="33">
        <v>76</v>
      </c>
      <c r="W38" s="33">
        <v>102</v>
      </c>
      <c r="X38" s="33">
        <v>39</v>
      </c>
      <c r="Y38" s="33">
        <v>75</v>
      </c>
      <c r="Z38" s="33">
        <v>38</v>
      </c>
      <c r="AA38" s="33">
        <v>19</v>
      </c>
      <c r="AB38" s="33">
        <v>43</v>
      </c>
      <c r="AC38" s="33" t="s">
        <v>102</v>
      </c>
      <c r="AD38" s="33">
        <v>68</v>
      </c>
      <c r="AE38" s="33">
        <v>119</v>
      </c>
      <c r="AF38" s="33">
        <v>43</v>
      </c>
      <c r="AG38" s="33">
        <v>58</v>
      </c>
      <c r="AH38" s="33" t="s">
        <v>102</v>
      </c>
      <c r="AI38" s="33">
        <v>70</v>
      </c>
      <c r="AJ38" s="33">
        <v>60</v>
      </c>
      <c r="AK38" s="33">
        <v>40</v>
      </c>
    </row>
    <row r="39" spans="1:37">
      <c r="A39" s="33" t="s">
        <v>97</v>
      </c>
      <c r="B39" s="33" t="s">
        <v>98</v>
      </c>
      <c r="C39" s="33" t="s">
        <v>43</v>
      </c>
      <c r="D39" s="33">
        <v>444</v>
      </c>
      <c r="E39" s="33">
        <v>75</v>
      </c>
      <c r="F39" s="33">
        <v>37</v>
      </c>
      <c r="G39" s="33">
        <v>210</v>
      </c>
      <c r="H39" s="33">
        <v>133</v>
      </c>
      <c r="I39" s="33">
        <v>48</v>
      </c>
      <c r="J39" s="33">
        <v>288</v>
      </c>
      <c r="K39" s="33">
        <v>110</v>
      </c>
      <c r="L39" s="33">
        <v>47</v>
      </c>
      <c r="M39" s="33">
        <v>406</v>
      </c>
      <c r="N39" s="33">
        <v>69</v>
      </c>
      <c r="O39" s="33">
        <v>39</v>
      </c>
      <c r="P39" s="33">
        <v>97</v>
      </c>
      <c r="Q39" s="33">
        <v>64</v>
      </c>
      <c r="R39" s="33">
        <v>25</v>
      </c>
      <c r="S39" s="33">
        <v>35</v>
      </c>
      <c r="T39" s="33">
        <v>151</v>
      </c>
      <c r="U39" s="33">
        <v>47</v>
      </c>
      <c r="V39" s="33">
        <v>78</v>
      </c>
      <c r="W39" s="33">
        <v>96</v>
      </c>
      <c r="X39" s="33">
        <v>37</v>
      </c>
      <c r="Y39" s="33">
        <v>78</v>
      </c>
      <c r="Z39" s="33">
        <v>18</v>
      </c>
      <c r="AA39" s="33">
        <v>8</v>
      </c>
      <c r="AB39" s="33">
        <v>46</v>
      </c>
      <c r="AC39" s="33" t="s">
        <v>100</v>
      </c>
      <c r="AD39" s="33">
        <v>71</v>
      </c>
      <c r="AE39" s="33">
        <v>87</v>
      </c>
      <c r="AF39" s="33">
        <v>34</v>
      </c>
      <c r="AG39" s="33">
        <v>72</v>
      </c>
      <c r="AH39" s="33" t="s">
        <v>99</v>
      </c>
      <c r="AI39" s="33">
        <v>85</v>
      </c>
      <c r="AJ39" s="33">
        <v>8</v>
      </c>
      <c r="AK39" s="33">
        <v>7</v>
      </c>
    </row>
    <row r="40" spans="1:37">
      <c r="A40" s="33" t="s">
        <v>97</v>
      </c>
      <c r="B40" s="33" t="s">
        <v>98</v>
      </c>
      <c r="C40" s="33" t="s">
        <v>41</v>
      </c>
      <c r="D40" s="33">
        <v>442</v>
      </c>
      <c r="E40" s="33">
        <v>81</v>
      </c>
      <c r="F40" s="33">
        <v>38</v>
      </c>
      <c r="G40" s="33">
        <v>257</v>
      </c>
      <c r="H40" s="33">
        <v>31</v>
      </c>
      <c r="I40" s="33">
        <v>16</v>
      </c>
      <c r="J40" s="33">
        <v>313</v>
      </c>
      <c r="K40" s="33">
        <v>55</v>
      </c>
      <c r="L40" s="33">
        <v>30</v>
      </c>
      <c r="M40" s="33">
        <v>408</v>
      </c>
      <c r="N40" s="33">
        <v>64</v>
      </c>
      <c r="O40" s="33">
        <v>37</v>
      </c>
      <c r="P40" s="33">
        <v>83</v>
      </c>
      <c r="Q40" s="33">
        <v>164</v>
      </c>
      <c r="R40" s="33">
        <v>51</v>
      </c>
      <c r="S40" s="33">
        <v>85</v>
      </c>
      <c r="T40" s="33">
        <v>14</v>
      </c>
      <c r="U40" s="33">
        <v>9</v>
      </c>
      <c r="V40" s="33">
        <v>89</v>
      </c>
      <c r="W40" s="33">
        <v>66</v>
      </c>
      <c r="X40" s="33">
        <v>27</v>
      </c>
      <c r="Y40" s="33">
        <v>56</v>
      </c>
      <c r="Z40" s="33">
        <v>173</v>
      </c>
      <c r="AA40" s="33">
        <v>53</v>
      </c>
      <c r="AB40" s="33">
        <v>39</v>
      </c>
      <c r="AC40" s="33" t="s">
        <v>102</v>
      </c>
      <c r="AD40" s="33">
        <v>63</v>
      </c>
      <c r="AE40" s="33">
        <v>152</v>
      </c>
      <c r="AF40" s="33">
        <v>48</v>
      </c>
      <c r="AG40" s="33">
        <v>56</v>
      </c>
      <c r="AH40" s="33" t="s">
        <v>102</v>
      </c>
      <c r="AI40" s="33">
        <v>66</v>
      </c>
      <c r="AJ40" s="33">
        <v>72</v>
      </c>
      <c r="AK40" s="33">
        <v>45</v>
      </c>
    </row>
    <row r="41" spans="1:37">
      <c r="A41" s="33" t="s">
        <v>97</v>
      </c>
      <c r="B41" s="33" t="s">
        <v>98</v>
      </c>
      <c r="C41" s="33" t="s">
        <v>42</v>
      </c>
      <c r="D41" s="33">
        <v>442</v>
      </c>
      <c r="E41" s="33">
        <v>81</v>
      </c>
      <c r="F41" s="33">
        <v>38</v>
      </c>
      <c r="G41" s="33">
        <v>224</v>
      </c>
      <c r="H41" s="33">
        <v>97</v>
      </c>
      <c r="I41" s="33">
        <v>42</v>
      </c>
      <c r="J41" s="33">
        <v>294</v>
      </c>
      <c r="K41" s="33">
        <v>92</v>
      </c>
      <c r="L41" s="33">
        <v>40</v>
      </c>
      <c r="M41" s="33">
        <v>404</v>
      </c>
      <c r="N41" s="33">
        <v>70</v>
      </c>
      <c r="O41" s="33">
        <v>40</v>
      </c>
      <c r="P41" s="33">
        <v>88</v>
      </c>
      <c r="Q41" s="33">
        <v>127</v>
      </c>
      <c r="R41" s="33">
        <v>44</v>
      </c>
      <c r="S41" s="33">
        <v>28</v>
      </c>
      <c r="T41" s="33">
        <v>173</v>
      </c>
      <c r="U41" s="33">
        <v>51</v>
      </c>
      <c r="V41" s="33">
        <v>108</v>
      </c>
      <c r="W41" s="33">
        <v>21</v>
      </c>
      <c r="X41" s="33">
        <v>12</v>
      </c>
      <c r="Y41" s="33">
        <v>70</v>
      </c>
      <c r="Z41" s="33">
        <v>71</v>
      </c>
      <c r="AA41" s="33">
        <v>29</v>
      </c>
      <c r="AB41" s="33">
        <v>42</v>
      </c>
      <c r="AC41" s="33" t="s">
        <v>102</v>
      </c>
      <c r="AD41" s="33">
        <v>66</v>
      </c>
      <c r="AE41" s="33">
        <v>128</v>
      </c>
      <c r="AF41" s="33">
        <v>44</v>
      </c>
      <c r="AG41" s="33">
        <v>68</v>
      </c>
      <c r="AH41" s="33" t="s">
        <v>100</v>
      </c>
      <c r="AI41" s="33">
        <v>82</v>
      </c>
      <c r="AJ41" s="33">
        <v>16</v>
      </c>
      <c r="AK41" s="33">
        <v>12</v>
      </c>
    </row>
    <row r="42" spans="1:37">
      <c r="A42" s="33" t="s">
        <v>97</v>
      </c>
      <c r="B42" s="33" t="s">
        <v>98</v>
      </c>
      <c r="C42" s="33" t="s">
        <v>40</v>
      </c>
      <c r="D42" s="33">
        <v>441</v>
      </c>
      <c r="E42" s="33">
        <v>83</v>
      </c>
      <c r="F42" s="33">
        <v>40</v>
      </c>
      <c r="G42" s="33">
        <v>201</v>
      </c>
      <c r="H42" s="33">
        <v>152</v>
      </c>
      <c r="I42" s="33">
        <v>52</v>
      </c>
      <c r="J42" s="33">
        <v>280</v>
      </c>
      <c r="K42" s="33">
        <v>129</v>
      </c>
      <c r="L42" s="33">
        <v>49</v>
      </c>
      <c r="M42" s="33">
        <v>404</v>
      </c>
      <c r="N42" s="33">
        <v>70</v>
      </c>
      <c r="O42" s="33">
        <v>40</v>
      </c>
      <c r="P42" s="33">
        <v>98</v>
      </c>
      <c r="Q42" s="33">
        <v>55</v>
      </c>
      <c r="R42" s="33">
        <v>23</v>
      </c>
      <c r="S42" s="33">
        <v>51</v>
      </c>
      <c r="T42" s="33">
        <v>88</v>
      </c>
      <c r="U42" s="33">
        <v>30</v>
      </c>
      <c r="V42" s="33">
        <v>52</v>
      </c>
      <c r="W42" s="33">
        <v>163</v>
      </c>
      <c r="X42" s="33">
        <v>50</v>
      </c>
      <c r="Y42" s="33">
        <v>79</v>
      </c>
      <c r="Z42" s="33">
        <v>15</v>
      </c>
      <c r="AA42" s="33">
        <v>6</v>
      </c>
      <c r="AB42" s="33">
        <v>62</v>
      </c>
      <c r="AC42" s="33" t="s">
        <v>99</v>
      </c>
      <c r="AD42" s="33">
        <v>87</v>
      </c>
      <c r="AE42" s="33">
        <v>5</v>
      </c>
      <c r="AF42" s="33">
        <v>4</v>
      </c>
      <c r="AG42" s="33">
        <v>62</v>
      </c>
      <c r="AH42" s="33" t="s">
        <v>100</v>
      </c>
      <c r="AI42" s="33">
        <v>74</v>
      </c>
      <c r="AJ42" s="33">
        <v>43</v>
      </c>
      <c r="AK42" s="33">
        <v>30</v>
      </c>
    </row>
    <row r="43" spans="1:37">
      <c r="A43" s="33" t="s">
        <v>97</v>
      </c>
      <c r="B43" s="33" t="s">
        <v>98</v>
      </c>
      <c r="C43" s="33" t="s">
        <v>39</v>
      </c>
      <c r="D43" s="33">
        <v>440</v>
      </c>
      <c r="E43" s="33">
        <v>84</v>
      </c>
      <c r="F43" s="33">
        <v>41</v>
      </c>
      <c r="G43" s="33">
        <v>230</v>
      </c>
      <c r="H43" s="33">
        <v>82</v>
      </c>
      <c r="I43" s="33">
        <v>38</v>
      </c>
      <c r="J43" s="33">
        <v>292</v>
      </c>
      <c r="K43" s="33">
        <v>95</v>
      </c>
      <c r="L43" s="33">
        <v>41</v>
      </c>
      <c r="M43" s="33">
        <v>403</v>
      </c>
      <c r="N43" s="33">
        <v>75</v>
      </c>
      <c r="O43" s="33">
        <v>42</v>
      </c>
      <c r="P43" s="33">
        <v>106</v>
      </c>
      <c r="Q43" s="33">
        <v>13</v>
      </c>
      <c r="R43" s="33">
        <v>7</v>
      </c>
      <c r="S43" s="33">
        <v>48</v>
      </c>
      <c r="T43" s="33">
        <v>99</v>
      </c>
      <c r="U43" s="33">
        <v>35</v>
      </c>
      <c r="V43" s="33">
        <v>76</v>
      </c>
      <c r="W43" s="33">
        <v>102</v>
      </c>
      <c r="X43" s="33">
        <v>39</v>
      </c>
      <c r="Y43" s="33">
        <v>62</v>
      </c>
      <c r="Z43" s="33">
        <v>148</v>
      </c>
      <c r="AA43" s="33">
        <v>47</v>
      </c>
      <c r="AB43" s="33">
        <v>51</v>
      </c>
      <c r="AC43" s="33" t="s">
        <v>100</v>
      </c>
      <c r="AD43" s="33">
        <v>77</v>
      </c>
      <c r="AE43" s="33">
        <v>41</v>
      </c>
      <c r="AF43" s="33">
        <v>18</v>
      </c>
      <c r="AG43" s="33">
        <v>60</v>
      </c>
      <c r="AH43" s="33" t="s">
        <v>100</v>
      </c>
      <c r="AI43" s="33">
        <v>71</v>
      </c>
      <c r="AJ43" s="33">
        <v>53</v>
      </c>
      <c r="AK43" s="33">
        <v>37</v>
      </c>
    </row>
    <row r="44" spans="1:37">
      <c r="A44" s="34" t="s">
        <v>97</v>
      </c>
      <c r="B44" s="34" t="s">
        <v>98</v>
      </c>
      <c r="C44" s="34" t="s">
        <v>38</v>
      </c>
      <c r="D44" s="34">
        <v>439</v>
      </c>
      <c r="E44" s="34">
        <v>87</v>
      </c>
      <c r="F44" s="34">
        <v>42</v>
      </c>
      <c r="G44" s="34">
        <v>259</v>
      </c>
      <c r="H44" s="34">
        <v>28</v>
      </c>
      <c r="I44" s="34">
        <v>14</v>
      </c>
      <c r="J44" s="34">
        <v>321</v>
      </c>
      <c r="K44" s="34">
        <v>43</v>
      </c>
      <c r="L44" s="34">
        <v>24</v>
      </c>
      <c r="M44" s="34">
        <v>409</v>
      </c>
      <c r="N44" s="34">
        <v>62</v>
      </c>
      <c r="O44" s="34">
        <v>35</v>
      </c>
      <c r="P44" s="34">
        <v>94</v>
      </c>
      <c r="Q44" s="34">
        <v>87</v>
      </c>
      <c r="R44" s="34">
        <v>34</v>
      </c>
      <c r="S44" s="34">
        <v>53</v>
      </c>
      <c r="T44" s="34">
        <v>78</v>
      </c>
      <c r="U44" s="34">
        <v>26</v>
      </c>
      <c r="V44" s="34">
        <v>112</v>
      </c>
      <c r="W44" s="34">
        <v>11</v>
      </c>
      <c r="X44" s="34">
        <v>7</v>
      </c>
      <c r="Y44" s="34">
        <v>62</v>
      </c>
      <c r="Z44" s="34">
        <v>148</v>
      </c>
      <c r="AA44" s="34">
        <v>47</v>
      </c>
      <c r="AB44" s="34">
        <v>42</v>
      </c>
      <c r="AC44" s="34" t="s">
        <v>102</v>
      </c>
      <c r="AD44" s="34">
        <v>66</v>
      </c>
      <c r="AE44" s="34">
        <v>128</v>
      </c>
      <c r="AF44" s="34">
        <v>44</v>
      </c>
      <c r="AG44" s="34">
        <v>46</v>
      </c>
      <c r="AH44" s="34" t="s">
        <v>103</v>
      </c>
      <c r="AI44" s="34">
        <v>52</v>
      </c>
      <c r="AJ44" s="34">
        <v>97</v>
      </c>
      <c r="AK44" s="34">
        <v>54</v>
      </c>
    </row>
    <row r="45" spans="1:37">
      <c r="A45" s="34" t="s">
        <v>97</v>
      </c>
      <c r="B45" s="34" t="s">
        <v>98</v>
      </c>
      <c r="C45" s="34" t="s">
        <v>37</v>
      </c>
      <c r="D45" s="34">
        <v>437</v>
      </c>
      <c r="E45" s="34">
        <v>95</v>
      </c>
      <c r="F45" s="34">
        <v>43</v>
      </c>
      <c r="G45" s="34">
        <v>224</v>
      </c>
      <c r="H45" s="34">
        <v>97</v>
      </c>
      <c r="I45" s="34">
        <v>42</v>
      </c>
      <c r="J45" s="34">
        <v>290</v>
      </c>
      <c r="K45" s="34">
        <v>100</v>
      </c>
      <c r="L45" s="34">
        <v>42</v>
      </c>
      <c r="M45" s="34">
        <v>401</v>
      </c>
      <c r="N45" s="34">
        <v>80</v>
      </c>
      <c r="O45" s="34">
        <v>44</v>
      </c>
      <c r="P45" s="34">
        <v>99</v>
      </c>
      <c r="Q45" s="34">
        <v>48</v>
      </c>
      <c r="R45" s="34">
        <v>19</v>
      </c>
      <c r="S45" s="34">
        <v>28</v>
      </c>
      <c r="T45" s="34">
        <v>173</v>
      </c>
      <c r="U45" s="34">
        <v>51</v>
      </c>
      <c r="V45" s="34">
        <v>97</v>
      </c>
      <c r="W45" s="34">
        <v>34</v>
      </c>
      <c r="X45" s="34">
        <v>18</v>
      </c>
      <c r="Y45" s="34">
        <v>66</v>
      </c>
      <c r="Z45" s="34">
        <v>116</v>
      </c>
      <c r="AA45" s="34">
        <v>39</v>
      </c>
      <c r="AB45" s="34">
        <v>57</v>
      </c>
      <c r="AC45" s="34" t="s">
        <v>99</v>
      </c>
      <c r="AD45" s="34">
        <v>84</v>
      </c>
      <c r="AE45" s="34">
        <v>14</v>
      </c>
      <c r="AF45" s="34">
        <v>8</v>
      </c>
      <c r="AG45" s="34">
        <v>54</v>
      </c>
      <c r="AH45" s="34" t="s">
        <v>102</v>
      </c>
      <c r="AI45" s="34">
        <v>63</v>
      </c>
      <c r="AJ45" s="34">
        <v>81</v>
      </c>
      <c r="AK45" s="34">
        <v>50</v>
      </c>
    </row>
    <row r="46" spans="1:37">
      <c r="A46" s="33" t="s">
        <v>97</v>
      </c>
      <c r="B46" s="33" t="s">
        <v>98</v>
      </c>
      <c r="C46" s="33" t="s">
        <v>36</v>
      </c>
      <c r="D46" s="33">
        <v>437</v>
      </c>
      <c r="E46" s="33">
        <v>95</v>
      </c>
      <c r="F46" s="33">
        <v>43</v>
      </c>
      <c r="G46" s="33">
        <v>233</v>
      </c>
      <c r="H46" s="33">
        <v>75</v>
      </c>
      <c r="I46" s="33">
        <v>34</v>
      </c>
      <c r="J46" s="33">
        <v>290</v>
      </c>
      <c r="K46" s="33">
        <v>100</v>
      </c>
      <c r="L46" s="33">
        <v>42</v>
      </c>
      <c r="M46" s="33">
        <v>402</v>
      </c>
      <c r="N46" s="33">
        <v>78</v>
      </c>
      <c r="O46" s="33">
        <v>43</v>
      </c>
      <c r="P46" s="33">
        <v>98</v>
      </c>
      <c r="Q46" s="33">
        <v>55</v>
      </c>
      <c r="R46" s="33">
        <v>23</v>
      </c>
      <c r="S46" s="33">
        <v>34</v>
      </c>
      <c r="T46" s="33">
        <v>156</v>
      </c>
      <c r="U46" s="33">
        <v>48</v>
      </c>
      <c r="V46" s="33">
        <v>101</v>
      </c>
      <c r="W46" s="33">
        <v>30</v>
      </c>
      <c r="X46" s="33">
        <v>16</v>
      </c>
      <c r="Y46" s="33">
        <v>57</v>
      </c>
      <c r="Z46" s="33">
        <v>171</v>
      </c>
      <c r="AA46" s="33">
        <v>52</v>
      </c>
      <c r="AB46" s="33">
        <v>38</v>
      </c>
      <c r="AC46" s="33" t="s">
        <v>102</v>
      </c>
      <c r="AD46" s="33">
        <v>61</v>
      </c>
      <c r="AE46" s="33">
        <v>156</v>
      </c>
      <c r="AF46" s="33">
        <v>49</v>
      </c>
      <c r="AG46" s="33">
        <v>74</v>
      </c>
      <c r="AH46" s="33" t="s">
        <v>99</v>
      </c>
      <c r="AI46" s="33">
        <v>86</v>
      </c>
      <c r="AJ46" s="33">
        <v>3</v>
      </c>
      <c r="AK46" s="33">
        <v>3</v>
      </c>
    </row>
    <row r="47" spans="1:37">
      <c r="A47" s="33" t="s">
        <v>97</v>
      </c>
      <c r="B47" s="33" t="s">
        <v>98</v>
      </c>
      <c r="C47" s="33" t="s">
        <v>35</v>
      </c>
      <c r="D47" s="33">
        <v>435</v>
      </c>
      <c r="E47" s="33">
        <v>100</v>
      </c>
      <c r="F47" s="33">
        <v>45</v>
      </c>
      <c r="G47" s="33">
        <v>240</v>
      </c>
      <c r="H47" s="33">
        <v>64</v>
      </c>
      <c r="I47" s="33">
        <v>32</v>
      </c>
      <c r="J47" s="33">
        <v>301</v>
      </c>
      <c r="K47" s="33">
        <v>80</v>
      </c>
      <c r="L47" s="33">
        <v>36</v>
      </c>
      <c r="M47" s="33">
        <v>401</v>
      </c>
      <c r="N47" s="33">
        <v>80</v>
      </c>
      <c r="O47" s="33">
        <v>44</v>
      </c>
      <c r="P47" s="33">
        <v>80</v>
      </c>
      <c r="Q47" s="33">
        <v>175</v>
      </c>
      <c r="R47" s="33">
        <v>54</v>
      </c>
      <c r="S47" s="33">
        <v>49</v>
      </c>
      <c r="T47" s="33">
        <v>94</v>
      </c>
      <c r="U47" s="33">
        <v>34</v>
      </c>
      <c r="V47" s="33">
        <v>111</v>
      </c>
      <c r="W47" s="33">
        <v>14</v>
      </c>
      <c r="X47" s="33">
        <v>9</v>
      </c>
      <c r="Y47" s="33">
        <v>61</v>
      </c>
      <c r="Z47" s="33">
        <v>154</v>
      </c>
      <c r="AA47" s="33">
        <v>49</v>
      </c>
      <c r="AB47" s="33">
        <v>50</v>
      </c>
      <c r="AC47" s="33" t="s">
        <v>100</v>
      </c>
      <c r="AD47" s="33">
        <v>76</v>
      </c>
      <c r="AE47" s="33">
        <v>52</v>
      </c>
      <c r="AF47" s="33">
        <v>22</v>
      </c>
      <c r="AG47" s="33">
        <v>50</v>
      </c>
      <c r="AH47" s="33" t="s">
        <v>103</v>
      </c>
      <c r="AI47" s="33">
        <v>58</v>
      </c>
      <c r="AJ47" s="33">
        <v>91</v>
      </c>
      <c r="AK47" s="33">
        <v>53</v>
      </c>
    </row>
    <row r="48" spans="1:37">
      <c r="A48" s="33" t="s">
        <v>97</v>
      </c>
      <c r="B48" s="33" t="s">
        <v>98</v>
      </c>
      <c r="C48" s="33" t="s">
        <v>34</v>
      </c>
      <c r="D48" s="33">
        <v>435</v>
      </c>
      <c r="E48" s="33">
        <v>100</v>
      </c>
      <c r="F48" s="33">
        <v>45</v>
      </c>
      <c r="G48" s="33">
        <v>219</v>
      </c>
      <c r="H48" s="33">
        <v>110</v>
      </c>
      <c r="I48" s="33">
        <v>45</v>
      </c>
      <c r="J48" s="33">
        <v>289</v>
      </c>
      <c r="K48" s="33">
        <v>107</v>
      </c>
      <c r="L48" s="33">
        <v>46</v>
      </c>
      <c r="M48" s="33">
        <v>397</v>
      </c>
      <c r="N48" s="33">
        <v>90</v>
      </c>
      <c r="O48" s="33">
        <v>47</v>
      </c>
      <c r="P48" s="33">
        <v>104</v>
      </c>
      <c r="Q48" s="33">
        <v>19</v>
      </c>
      <c r="R48" s="33">
        <v>10</v>
      </c>
      <c r="S48" s="33">
        <v>27</v>
      </c>
      <c r="T48" s="33">
        <v>175</v>
      </c>
      <c r="U48" s="33">
        <v>53</v>
      </c>
      <c r="V48" s="33">
        <v>88</v>
      </c>
      <c r="W48" s="33">
        <v>69</v>
      </c>
      <c r="X48" s="33">
        <v>28</v>
      </c>
      <c r="Y48" s="33">
        <v>70</v>
      </c>
      <c r="Z48" s="33">
        <v>71</v>
      </c>
      <c r="AA48" s="33">
        <v>29</v>
      </c>
      <c r="AB48" s="33">
        <v>50</v>
      </c>
      <c r="AC48" s="33" t="s">
        <v>100</v>
      </c>
      <c r="AD48" s="33">
        <v>76</v>
      </c>
      <c r="AE48" s="33">
        <v>52</v>
      </c>
      <c r="AF48" s="33">
        <v>22</v>
      </c>
      <c r="AG48" s="33">
        <v>58</v>
      </c>
      <c r="AH48" s="33" t="s">
        <v>102</v>
      </c>
      <c r="AI48" s="33">
        <v>70</v>
      </c>
      <c r="AJ48" s="33">
        <v>60</v>
      </c>
      <c r="AK48" s="33">
        <v>40</v>
      </c>
    </row>
    <row r="49" spans="1:37">
      <c r="A49" s="34" t="s">
        <v>97</v>
      </c>
      <c r="B49" s="34" t="s">
        <v>98</v>
      </c>
      <c r="C49" s="34" t="s">
        <v>32</v>
      </c>
      <c r="D49" s="34">
        <v>431</v>
      </c>
      <c r="E49" s="34">
        <v>105</v>
      </c>
      <c r="F49" s="34">
        <v>47</v>
      </c>
      <c r="G49" s="34">
        <v>216</v>
      </c>
      <c r="H49" s="34">
        <v>122</v>
      </c>
      <c r="I49" s="34">
        <v>46</v>
      </c>
      <c r="J49" s="34">
        <v>283</v>
      </c>
      <c r="K49" s="34">
        <v>121</v>
      </c>
      <c r="L49" s="34">
        <v>48</v>
      </c>
      <c r="M49" s="34">
        <v>397</v>
      </c>
      <c r="N49" s="34">
        <v>90</v>
      </c>
      <c r="O49" s="34">
        <v>47</v>
      </c>
      <c r="P49" s="34">
        <v>91</v>
      </c>
      <c r="Q49" s="34">
        <v>109</v>
      </c>
      <c r="R49" s="34">
        <v>39</v>
      </c>
      <c r="S49" s="34">
        <v>51</v>
      </c>
      <c r="T49" s="34">
        <v>88</v>
      </c>
      <c r="U49" s="34">
        <v>30</v>
      </c>
      <c r="V49" s="34">
        <v>74</v>
      </c>
      <c r="W49" s="34">
        <v>107</v>
      </c>
      <c r="X49" s="34">
        <v>42</v>
      </c>
      <c r="Y49" s="34">
        <v>67</v>
      </c>
      <c r="Z49" s="34">
        <v>107</v>
      </c>
      <c r="AA49" s="34">
        <v>37</v>
      </c>
      <c r="AB49" s="34">
        <v>34</v>
      </c>
      <c r="AC49" s="34" t="s">
        <v>103</v>
      </c>
      <c r="AD49" s="34">
        <v>56</v>
      </c>
      <c r="AE49" s="34">
        <v>177</v>
      </c>
      <c r="AF49" s="34">
        <v>52</v>
      </c>
      <c r="AG49" s="34">
        <v>80</v>
      </c>
      <c r="AH49" s="34" t="s">
        <v>99</v>
      </c>
      <c r="AI49" s="34">
        <v>92</v>
      </c>
      <c r="AJ49" s="34">
        <v>1</v>
      </c>
      <c r="AK49" s="34">
        <v>1</v>
      </c>
    </row>
    <row r="50" spans="1:37">
      <c r="A50" s="34" t="s">
        <v>97</v>
      </c>
      <c r="B50" s="34" t="s">
        <v>98</v>
      </c>
      <c r="C50" s="34" t="s">
        <v>33</v>
      </c>
      <c r="D50" s="34">
        <v>431</v>
      </c>
      <c r="E50" s="34">
        <v>105</v>
      </c>
      <c r="F50" s="34">
        <v>47</v>
      </c>
      <c r="G50" s="34">
        <v>233</v>
      </c>
      <c r="H50" s="34">
        <v>75</v>
      </c>
      <c r="I50" s="34">
        <v>34</v>
      </c>
      <c r="J50" s="34">
        <v>304</v>
      </c>
      <c r="K50" s="34">
        <v>74</v>
      </c>
      <c r="L50" s="34">
        <v>35</v>
      </c>
      <c r="M50" s="34">
        <v>398</v>
      </c>
      <c r="N50" s="34">
        <v>88</v>
      </c>
      <c r="O50" s="34">
        <v>46</v>
      </c>
      <c r="P50" s="34">
        <v>94</v>
      </c>
      <c r="Q50" s="34">
        <v>87</v>
      </c>
      <c r="R50" s="34">
        <v>34</v>
      </c>
      <c r="S50" s="34">
        <v>87</v>
      </c>
      <c r="T50" s="34">
        <v>11</v>
      </c>
      <c r="U50" s="34">
        <v>7</v>
      </c>
      <c r="V50" s="34">
        <v>52</v>
      </c>
      <c r="W50" s="34">
        <v>163</v>
      </c>
      <c r="X50" s="34">
        <v>50</v>
      </c>
      <c r="Y50" s="34">
        <v>71</v>
      </c>
      <c r="Z50" s="34">
        <v>63</v>
      </c>
      <c r="AA50" s="34">
        <v>26</v>
      </c>
      <c r="AB50" s="34">
        <v>32</v>
      </c>
      <c r="AC50" s="34" t="s">
        <v>103</v>
      </c>
      <c r="AD50" s="34">
        <v>53</v>
      </c>
      <c r="AE50" s="34">
        <v>181</v>
      </c>
      <c r="AF50" s="34">
        <v>53</v>
      </c>
      <c r="AG50" s="34">
        <v>62</v>
      </c>
      <c r="AH50" s="34" t="s">
        <v>100</v>
      </c>
      <c r="AI50" s="34">
        <v>74</v>
      </c>
      <c r="AJ50" s="34">
        <v>43</v>
      </c>
      <c r="AK50" s="34">
        <v>30</v>
      </c>
    </row>
    <row r="51" spans="1:37">
      <c r="A51" s="34" t="s">
        <v>97</v>
      </c>
      <c r="B51" s="34" t="s">
        <v>98</v>
      </c>
      <c r="C51" s="34" t="s">
        <v>31</v>
      </c>
      <c r="D51" s="34">
        <v>418</v>
      </c>
      <c r="E51" s="34">
        <v>122</v>
      </c>
      <c r="F51" s="34">
        <v>49</v>
      </c>
      <c r="G51" s="34">
        <v>224</v>
      </c>
      <c r="H51" s="34">
        <v>97</v>
      </c>
      <c r="I51" s="34">
        <v>42</v>
      </c>
      <c r="J51" s="34">
        <v>290</v>
      </c>
      <c r="K51" s="34">
        <v>100</v>
      </c>
      <c r="L51" s="34">
        <v>42</v>
      </c>
      <c r="M51" s="34">
        <v>386</v>
      </c>
      <c r="N51" s="34">
        <v>107</v>
      </c>
      <c r="O51" s="34">
        <v>49</v>
      </c>
      <c r="P51" s="34">
        <v>97</v>
      </c>
      <c r="Q51" s="34">
        <v>64</v>
      </c>
      <c r="R51" s="34">
        <v>25</v>
      </c>
      <c r="S51" s="34">
        <v>34</v>
      </c>
      <c r="T51" s="34">
        <v>156</v>
      </c>
      <c r="U51" s="34">
        <v>48</v>
      </c>
      <c r="V51" s="34">
        <v>93</v>
      </c>
      <c r="W51" s="34">
        <v>11</v>
      </c>
      <c r="X51" s="34">
        <v>3</v>
      </c>
      <c r="Y51" s="34">
        <v>66</v>
      </c>
      <c r="Z51" s="34">
        <v>116</v>
      </c>
      <c r="AA51" s="34">
        <v>39</v>
      </c>
      <c r="AB51" s="34">
        <v>44</v>
      </c>
      <c r="AC51" s="34" t="s">
        <v>102</v>
      </c>
      <c r="AD51" s="34">
        <v>69</v>
      </c>
      <c r="AE51" s="34">
        <v>113</v>
      </c>
      <c r="AF51" s="34">
        <v>42</v>
      </c>
      <c r="AG51" s="34">
        <v>52</v>
      </c>
      <c r="AH51" s="34" t="s">
        <v>102</v>
      </c>
      <c r="AI51" s="34">
        <v>59</v>
      </c>
      <c r="AJ51" s="34">
        <v>87</v>
      </c>
      <c r="AK51" s="34">
        <v>52</v>
      </c>
    </row>
    <row r="52" spans="1:37">
      <c r="A52" s="34" t="s">
        <v>97</v>
      </c>
      <c r="B52" s="34" t="s">
        <v>98</v>
      </c>
      <c r="C52" s="34" t="s">
        <v>30</v>
      </c>
      <c r="D52" s="34">
        <v>414</v>
      </c>
      <c r="E52" s="34">
        <v>130</v>
      </c>
      <c r="F52" s="34">
        <v>50</v>
      </c>
      <c r="G52" s="34">
        <v>196</v>
      </c>
      <c r="H52" s="34">
        <v>158</v>
      </c>
      <c r="I52" s="34">
        <v>53</v>
      </c>
      <c r="J52" s="34">
        <v>274</v>
      </c>
      <c r="K52" s="34">
        <v>139</v>
      </c>
      <c r="L52" s="34">
        <v>50</v>
      </c>
      <c r="M52" s="34">
        <v>378</v>
      </c>
      <c r="N52" s="34">
        <v>120</v>
      </c>
      <c r="O52" s="34">
        <v>50</v>
      </c>
      <c r="P52" s="34">
        <v>97</v>
      </c>
      <c r="Q52" s="34">
        <v>64</v>
      </c>
      <c r="R52" s="34">
        <v>25</v>
      </c>
      <c r="S52" s="34">
        <v>41</v>
      </c>
      <c r="T52" s="34">
        <v>129</v>
      </c>
      <c r="U52" s="34">
        <v>41</v>
      </c>
      <c r="V52" s="34">
        <v>58</v>
      </c>
      <c r="W52" s="34">
        <v>150</v>
      </c>
      <c r="X52" s="34">
        <v>48</v>
      </c>
      <c r="Y52" s="34">
        <v>78</v>
      </c>
      <c r="Z52" s="34">
        <v>18</v>
      </c>
      <c r="AA52" s="34">
        <v>8</v>
      </c>
      <c r="AB52" s="34">
        <v>42</v>
      </c>
      <c r="AC52" s="34" t="s">
        <v>102</v>
      </c>
      <c r="AD52" s="34">
        <v>66</v>
      </c>
      <c r="AE52" s="34">
        <v>128</v>
      </c>
      <c r="AF52" s="34">
        <v>44</v>
      </c>
      <c r="AG52" s="34">
        <v>62</v>
      </c>
      <c r="AH52" s="34" t="s">
        <v>100</v>
      </c>
      <c r="AI52" s="34">
        <v>74</v>
      </c>
      <c r="AJ52" s="34">
        <v>43</v>
      </c>
      <c r="AK52" s="34">
        <v>30</v>
      </c>
    </row>
    <row r="53" spans="1:37">
      <c r="A53" s="34" t="s">
        <v>97</v>
      </c>
      <c r="B53" s="34" t="s">
        <v>98</v>
      </c>
      <c r="C53" s="34" t="s">
        <v>29</v>
      </c>
      <c r="D53" s="34">
        <v>405</v>
      </c>
      <c r="E53" s="34">
        <v>142</v>
      </c>
      <c r="F53" s="34">
        <v>51</v>
      </c>
      <c r="G53" s="34">
        <v>207</v>
      </c>
      <c r="H53" s="34">
        <v>141</v>
      </c>
      <c r="I53" s="34">
        <v>50</v>
      </c>
      <c r="J53" s="34">
        <v>271</v>
      </c>
      <c r="K53" s="34">
        <v>145</v>
      </c>
      <c r="L53" s="34">
        <v>52</v>
      </c>
      <c r="M53" s="34">
        <v>371</v>
      </c>
      <c r="N53" s="34">
        <v>128</v>
      </c>
      <c r="O53" s="34">
        <v>51</v>
      </c>
      <c r="P53" s="34">
        <v>90</v>
      </c>
      <c r="Q53" s="34">
        <v>116</v>
      </c>
      <c r="R53" s="34">
        <v>43</v>
      </c>
      <c r="S53" s="34">
        <v>33</v>
      </c>
      <c r="T53" s="34">
        <v>161</v>
      </c>
      <c r="U53" s="34">
        <v>50</v>
      </c>
      <c r="V53" s="34">
        <v>84</v>
      </c>
      <c r="W53" s="34">
        <v>82</v>
      </c>
      <c r="X53" s="34">
        <v>33</v>
      </c>
      <c r="Y53" s="34">
        <v>64</v>
      </c>
      <c r="Z53" s="34">
        <v>132</v>
      </c>
      <c r="AA53" s="34">
        <v>44</v>
      </c>
      <c r="AB53" s="34">
        <v>46</v>
      </c>
      <c r="AC53" s="34" t="s">
        <v>100</v>
      </c>
      <c r="AD53" s="34">
        <v>71</v>
      </c>
      <c r="AE53" s="34">
        <v>87</v>
      </c>
      <c r="AF53" s="34">
        <v>34</v>
      </c>
      <c r="AG53" s="34">
        <v>54</v>
      </c>
      <c r="AH53" s="34" t="s">
        <v>102</v>
      </c>
      <c r="AI53" s="34">
        <v>63</v>
      </c>
      <c r="AJ53" s="34">
        <v>81</v>
      </c>
      <c r="AK53" s="34">
        <v>50</v>
      </c>
    </row>
    <row r="54" spans="1:37">
      <c r="A54" s="33" t="s">
        <v>97</v>
      </c>
      <c r="B54" s="33" t="s">
        <v>98</v>
      </c>
      <c r="C54" s="33" t="s">
        <v>28</v>
      </c>
      <c r="D54" s="33">
        <v>403</v>
      </c>
      <c r="E54" s="33">
        <v>145</v>
      </c>
      <c r="F54" s="33">
        <v>52</v>
      </c>
      <c r="G54" s="33">
        <v>203</v>
      </c>
      <c r="H54" s="33">
        <v>149</v>
      </c>
      <c r="I54" s="33">
        <v>51</v>
      </c>
      <c r="J54" s="33">
        <v>264</v>
      </c>
      <c r="K54" s="33">
        <v>154</v>
      </c>
      <c r="L54" s="33">
        <v>53</v>
      </c>
      <c r="M54" s="33">
        <v>368</v>
      </c>
      <c r="N54" s="33">
        <v>130</v>
      </c>
      <c r="O54" s="33">
        <v>52</v>
      </c>
      <c r="P54" s="33">
        <v>88</v>
      </c>
      <c r="Q54" s="33">
        <v>127</v>
      </c>
      <c r="R54" s="33">
        <v>44</v>
      </c>
      <c r="S54" s="33">
        <v>37</v>
      </c>
      <c r="T54" s="33">
        <v>141</v>
      </c>
      <c r="U54" s="33">
        <v>44</v>
      </c>
      <c r="V54" s="33">
        <v>78</v>
      </c>
      <c r="W54" s="33">
        <v>96</v>
      </c>
      <c r="X54" s="33">
        <v>37</v>
      </c>
      <c r="Y54" s="33">
        <v>61</v>
      </c>
      <c r="Z54" s="33">
        <v>154</v>
      </c>
      <c r="AA54" s="33">
        <v>49</v>
      </c>
      <c r="AB54" s="33">
        <v>48</v>
      </c>
      <c r="AC54" s="33" t="s">
        <v>100</v>
      </c>
      <c r="AD54" s="33">
        <v>73</v>
      </c>
      <c r="AE54" s="33">
        <v>68</v>
      </c>
      <c r="AF54" s="33">
        <v>29</v>
      </c>
      <c r="AG54" s="33">
        <v>56</v>
      </c>
      <c r="AH54" s="33" t="s">
        <v>102</v>
      </c>
      <c r="AI54" s="33">
        <v>66</v>
      </c>
      <c r="AJ54" s="33">
        <v>72</v>
      </c>
      <c r="AK54" s="33">
        <v>45</v>
      </c>
    </row>
    <row r="55" spans="1:37">
      <c r="A55" s="33" t="s">
        <v>97</v>
      </c>
      <c r="B55" s="33" t="s">
        <v>98</v>
      </c>
      <c r="C55" s="33" t="s">
        <v>27</v>
      </c>
      <c r="D55" s="33">
        <v>393</v>
      </c>
      <c r="E55" s="33">
        <v>153</v>
      </c>
      <c r="F55" s="33">
        <v>53</v>
      </c>
      <c r="G55" s="33">
        <v>189</v>
      </c>
      <c r="H55" s="33">
        <v>163</v>
      </c>
      <c r="I55" s="33">
        <v>54</v>
      </c>
      <c r="J55" s="33">
        <v>243</v>
      </c>
      <c r="K55" s="33">
        <v>178</v>
      </c>
      <c r="L55" s="33">
        <v>54</v>
      </c>
      <c r="M55" s="33">
        <v>355</v>
      </c>
      <c r="N55" s="33">
        <v>147</v>
      </c>
      <c r="O55" s="33">
        <v>54</v>
      </c>
      <c r="P55" s="33">
        <v>81</v>
      </c>
      <c r="Q55" s="33">
        <v>171</v>
      </c>
      <c r="R55" s="33">
        <v>53</v>
      </c>
      <c r="S55" s="33">
        <v>51</v>
      </c>
      <c r="T55" s="33">
        <v>88</v>
      </c>
      <c r="U55" s="33">
        <v>30</v>
      </c>
      <c r="V55" s="33">
        <v>57</v>
      </c>
      <c r="W55" s="33">
        <v>153</v>
      </c>
      <c r="X55" s="33">
        <v>49</v>
      </c>
      <c r="Y55" s="33">
        <v>54</v>
      </c>
      <c r="Z55" s="33">
        <v>183</v>
      </c>
      <c r="AA55" s="33">
        <v>54</v>
      </c>
      <c r="AB55" s="33">
        <v>48</v>
      </c>
      <c r="AC55" s="33" t="s">
        <v>100</v>
      </c>
      <c r="AD55" s="33">
        <v>73</v>
      </c>
      <c r="AE55" s="33">
        <v>68</v>
      </c>
      <c r="AF55" s="33">
        <v>29</v>
      </c>
      <c r="AG55" s="33">
        <v>64</v>
      </c>
      <c r="AH55" s="33" t="s">
        <v>100</v>
      </c>
      <c r="AI55" s="33">
        <v>77</v>
      </c>
      <c r="AJ55" s="33">
        <v>33</v>
      </c>
      <c r="AK55" s="33">
        <v>24</v>
      </c>
    </row>
    <row r="56" spans="1:37">
      <c r="A56" s="34" t="s">
        <v>97</v>
      </c>
      <c r="B56" s="34" t="s">
        <v>98</v>
      </c>
      <c r="C56" s="34" t="s">
        <v>26</v>
      </c>
      <c r="D56" s="34">
        <v>383</v>
      </c>
      <c r="E56" s="34">
        <v>163</v>
      </c>
      <c r="F56" s="34">
        <v>54</v>
      </c>
      <c r="G56" s="34">
        <v>208</v>
      </c>
      <c r="H56" s="34">
        <v>139</v>
      </c>
      <c r="I56" s="34">
        <v>49</v>
      </c>
      <c r="J56" s="34">
        <v>274</v>
      </c>
      <c r="K56" s="34">
        <v>139</v>
      </c>
      <c r="L56" s="34">
        <v>50</v>
      </c>
      <c r="M56" s="34">
        <v>356</v>
      </c>
      <c r="N56" s="34">
        <v>144</v>
      </c>
      <c r="O56" s="34">
        <v>53</v>
      </c>
      <c r="P56" s="34">
        <v>86</v>
      </c>
      <c r="Q56" s="34">
        <v>143</v>
      </c>
      <c r="R56" s="34">
        <v>46</v>
      </c>
      <c r="S56" s="34">
        <v>37</v>
      </c>
      <c r="T56" s="34">
        <v>141</v>
      </c>
      <c r="U56" s="34">
        <v>44</v>
      </c>
      <c r="V56" s="34">
        <v>85</v>
      </c>
      <c r="W56" s="34">
        <v>77</v>
      </c>
      <c r="X56" s="34">
        <v>30</v>
      </c>
      <c r="Y56" s="34">
        <v>66</v>
      </c>
      <c r="Z56" s="34">
        <v>116</v>
      </c>
      <c r="AA56" s="34">
        <v>39</v>
      </c>
      <c r="AB56" s="34">
        <v>26</v>
      </c>
      <c r="AC56" s="34" t="s">
        <v>103</v>
      </c>
      <c r="AD56" s="34">
        <v>43</v>
      </c>
      <c r="AE56" s="34">
        <v>193</v>
      </c>
      <c r="AF56" s="34">
        <v>54</v>
      </c>
      <c r="AG56" s="34">
        <v>56</v>
      </c>
      <c r="AH56" s="34" t="s">
        <v>102</v>
      </c>
      <c r="AI56" s="34">
        <v>66</v>
      </c>
      <c r="AJ56" s="34">
        <v>72</v>
      </c>
      <c r="AK56" s="34">
        <v>45</v>
      </c>
    </row>
    <row r="57" spans="1:37">
      <c r="A57" s="34" t="s">
        <v>97</v>
      </c>
      <c r="B57" s="34" t="s">
        <v>98</v>
      </c>
      <c r="C57" s="34" t="s">
        <v>22</v>
      </c>
      <c r="D57" s="34" t="s">
        <v>23</v>
      </c>
      <c r="E57" s="34" t="s">
        <v>24</v>
      </c>
      <c r="F57" s="34" t="s">
        <v>24</v>
      </c>
      <c r="G57" s="34" t="s">
        <v>23</v>
      </c>
      <c r="H57" s="34" t="s">
        <v>24</v>
      </c>
      <c r="I57" s="34" t="s">
        <v>24</v>
      </c>
      <c r="J57" s="34" t="s">
        <v>23</v>
      </c>
      <c r="K57" s="34" t="s">
        <v>24</v>
      </c>
      <c r="L57" s="34" t="s">
        <v>24</v>
      </c>
      <c r="M57" s="34" t="s">
        <v>23</v>
      </c>
      <c r="N57" s="34" t="s">
        <v>24</v>
      </c>
      <c r="O57" s="34" t="s">
        <v>24</v>
      </c>
      <c r="P57" s="34" t="s">
        <v>23</v>
      </c>
      <c r="Q57" s="34" t="s">
        <v>24</v>
      </c>
      <c r="R57" s="34" t="s">
        <v>24</v>
      </c>
      <c r="S57" s="34" t="s">
        <v>23</v>
      </c>
      <c r="T57" s="34" t="s">
        <v>24</v>
      </c>
      <c r="U57" s="34" t="s">
        <v>24</v>
      </c>
      <c r="V57" s="34" t="s">
        <v>23</v>
      </c>
      <c r="W57" s="34" t="s">
        <v>24</v>
      </c>
      <c r="X57" s="34" t="s">
        <v>24</v>
      </c>
      <c r="Y57" s="34" t="s">
        <v>23</v>
      </c>
      <c r="Z57" s="34" t="s">
        <v>24</v>
      </c>
      <c r="AA57" s="34" t="s">
        <v>24</v>
      </c>
      <c r="AB57" s="34" t="s">
        <v>23</v>
      </c>
      <c r="AC57" s="34" t="s">
        <v>24</v>
      </c>
      <c r="AD57" s="34" t="s">
        <v>24</v>
      </c>
      <c r="AE57" s="34" t="s">
        <v>24</v>
      </c>
      <c r="AF57" s="34" t="s">
        <v>24</v>
      </c>
      <c r="AG57" s="34" t="s">
        <v>23</v>
      </c>
      <c r="AH57" s="34" t="s">
        <v>24</v>
      </c>
      <c r="AI57" s="34" t="s">
        <v>24</v>
      </c>
      <c r="AJ57" s="34" t="s">
        <v>24</v>
      </c>
      <c r="AK57" s="34" t="s">
        <v>24</v>
      </c>
    </row>
    <row r="58" spans="1:37">
      <c r="A58" s="33" t="s">
        <v>97</v>
      </c>
      <c r="B58" s="33" t="s">
        <v>98</v>
      </c>
      <c r="C58" s="33" t="s">
        <v>25</v>
      </c>
      <c r="D58" s="33" t="s">
        <v>23</v>
      </c>
      <c r="E58" s="33" t="s">
        <v>24</v>
      </c>
      <c r="F58" s="33" t="s">
        <v>24</v>
      </c>
      <c r="G58" s="33" t="s">
        <v>23</v>
      </c>
      <c r="H58" s="33" t="s">
        <v>24</v>
      </c>
      <c r="I58" s="33" t="s">
        <v>24</v>
      </c>
      <c r="J58" s="33" t="s">
        <v>23</v>
      </c>
      <c r="K58" s="33" t="s">
        <v>24</v>
      </c>
      <c r="L58" s="33" t="s">
        <v>24</v>
      </c>
      <c r="M58" s="33" t="s">
        <v>23</v>
      </c>
      <c r="N58" s="33" t="s">
        <v>24</v>
      </c>
      <c r="O58" s="33" t="s">
        <v>24</v>
      </c>
      <c r="P58" s="33" t="s">
        <v>23</v>
      </c>
      <c r="Q58" s="33" t="s">
        <v>24</v>
      </c>
      <c r="R58" s="33" t="s">
        <v>24</v>
      </c>
      <c r="S58" s="33" t="s">
        <v>23</v>
      </c>
      <c r="T58" s="33" t="s">
        <v>24</v>
      </c>
      <c r="U58" s="33" t="s">
        <v>24</v>
      </c>
      <c r="V58" s="33" t="s">
        <v>23</v>
      </c>
      <c r="W58" s="33" t="s">
        <v>24</v>
      </c>
      <c r="X58" s="33" t="s">
        <v>24</v>
      </c>
      <c r="Y58" s="33" t="s">
        <v>23</v>
      </c>
      <c r="Z58" s="33" t="s">
        <v>24</v>
      </c>
      <c r="AA58" s="33" t="s">
        <v>24</v>
      </c>
      <c r="AB58" s="33" t="s">
        <v>23</v>
      </c>
      <c r="AC58" s="33" t="s">
        <v>24</v>
      </c>
      <c r="AD58" s="33" t="s">
        <v>24</v>
      </c>
      <c r="AE58" s="33" t="s">
        <v>24</v>
      </c>
      <c r="AF58" s="33" t="s">
        <v>24</v>
      </c>
      <c r="AG58" s="33" t="s">
        <v>23</v>
      </c>
      <c r="AH58" s="33" t="s">
        <v>24</v>
      </c>
      <c r="AI58" s="33" t="s">
        <v>24</v>
      </c>
      <c r="AJ58" s="33" t="s">
        <v>24</v>
      </c>
      <c r="AK58" s="33" t="s">
        <v>24</v>
      </c>
    </row>
  </sheetData>
  <mergeCells count="10">
    <mergeCell ref="D1:F1"/>
    <mergeCell ref="G1:I1"/>
    <mergeCell ref="J1:L1"/>
    <mergeCell ref="M1:O1"/>
    <mergeCell ref="P1:R1"/>
    <mergeCell ref="S1:U1"/>
    <mergeCell ref="V1:X1"/>
    <mergeCell ref="Y1:AA1"/>
    <mergeCell ref="AB1:AF1"/>
    <mergeCell ref="AG1:A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opLeftCell="A31" workbookViewId="0">
      <selection activeCell="L46" sqref="L46"/>
    </sheetView>
  </sheetViews>
  <sheetFormatPr defaultColWidth="8.725" defaultRowHeight="13.5"/>
  <sheetData>
    <row r="1" spans="1:10">
      <c r="A1" s="22" t="s">
        <v>81</v>
      </c>
      <c r="B1" s="23" t="s">
        <v>1</v>
      </c>
      <c r="C1" s="24" t="s">
        <v>85</v>
      </c>
      <c r="D1" s="17"/>
      <c r="E1" s="18" t="s">
        <v>104</v>
      </c>
      <c r="F1" s="17"/>
      <c r="G1" s="16" t="s">
        <v>83</v>
      </c>
      <c r="H1" s="17"/>
      <c r="I1" s="18" t="s">
        <v>84</v>
      </c>
      <c r="J1" s="17"/>
    </row>
    <row r="2" spans="1:10">
      <c r="A2" s="25" t="s">
        <v>98</v>
      </c>
      <c r="B2" s="26" t="s">
        <v>79</v>
      </c>
      <c r="C2" s="27">
        <v>516</v>
      </c>
      <c r="D2" s="20">
        <v>1</v>
      </c>
      <c r="E2" s="20">
        <v>556</v>
      </c>
      <c r="F2" s="20">
        <v>1</v>
      </c>
      <c r="G2" s="20">
        <v>307</v>
      </c>
      <c r="H2" s="20">
        <v>1</v>
      </c>
      <c r="I2" s="20">
        <v>390</v>
      </c>
      <c r="J2" s="20">
        <v>1</v>
      </c>
    </row>
    <row r="3" spans="1:10">
      <c r="A3" s="19" t="s">
        <v>98</v>
      </c>
      <c r="B3" s="19" t="s">
        <v>78</v>
      </c>
      <c r="C3" s="20">
        <v>499</v>
      </c>
      <c r="D3" s="20">
        <v>2</v>
      </c>
      <c r="E3" s="20">
        <v>538</v>
      </c>
      <c r="F3" s="20">
        <v>2</v>
      </c>
      <c r="G3" s="20">
        <v>304</v>
      </c>
      <c r="H3" s="20">
        <v>2</v>
      </c>
      <c r="I3" s="20">
        <v>372</v>
      </c>
      <c r="J3" s="20">
        <v>3</v>
      </c>
    </row>
    <row r="4" spans="1:10">
      <c r="A4" s="20" t="s">
        <v>98</v>
      </c>
      <c r="B4" s="20" t="s">
        <v>77</v>
      </c>
      <c r="C4" s="20">
        <v>494</v>
      </c>
      <c r="D4" s="20">
        <v>4</v>
      </c>
      <c r="E4" s="20">
        <v>535</v>
      </c>
      <c r="F4" s="20">
        <v>3</v>
      </c>
      <c r="G4" s="20">
        <v>292</v>
      </c>
      <c r="H4" s="20">
        <v>5</v>
      </c>
      <c r="I4" s="20">
        <v>370</v>
      </c>
      <c r="J4" s="20">
        <v>4</v>
      </c>
    </row>
    <row r="5" spans="1:10">
      <c r="A5" s="20" t="s">
        <v>98</v>
      </c>
      <c r="B5" s="20" t="s">
        <v>76</v>
      </c>
      <c r="C5" s="20">
        <v>497</v>
      </c>
      <c r="D5" s="20">
        <v>3</v>
      </c>
      <c r="E5" s="20">
        <v>534</v>
      </c>
      <c r="F5" s="20">
        <v>4</v>
      </c>
      <c r="G5" s="20">
        <v>287</v>
      </c>
      <c r="H5" s="20">
        <v>6</v>
      </c>
      <c r="I5" s="20">
        <v>367</v>
      </c>
      <c r="J5" s="20">
        <v>5</v>
      </c>
    </row>
    <row r="6" spans="1:10">
      <c r="A6" s="20" t="s">
        <v>98</v>
      </c>
      <c r="B6" s="20" t="s">
        <v>75</v>
      </c>
      <c r="C6" s="20">
        <v>478</v>
      </c>
      <c r="D6" s="20">
        <v>5</v>
      </c>
      <c r="E6" s="20">
        <v>518</v>
      </c>
      <c r="F6" s="20">
        <v>5</v>
      </c>
      <c r="G6" s="20">
        <v>284</v>
      </c>
      <c r="H6" s="20">
        <v>7</v>
      </c>
      <c r="I6" s="20">
        <v>357</v>
      </c>
      <c r="J6" s="20">
        <v>6</v>
      </c>
    </row>
    <row r="7" spans="1:10">
      <c r="A7" s="20" t="s">
        <v>98</v>
      </c>
      <c r="B7" s="20" t="s">
        <v>74</v>
      </c>
      <c r="C7" s="20">
        <v>472</v>
      </c>
      <c r="D7" s="20">
        <v>6</v>
      </c>
      <c r="E7" s="20">
        <v>511</v>
      </c>
      <c r="F7" s="20">
        <v>7</v>
      </c>
      <c r="G7" s="20">
        <v>293</v>
      </c>
      <c r="H7" s="20">
        <v>3</v>
      </c>
      <c r="I7" s="20">
        <v>356</v>
      </c>
      <c r="J7" s="20">
        <v>7</v>
      </c>
    </row>
    <row r="8" spans="1:10">
      <c r="A8" s="20" t="s">
        <v>98</v>
      </c>
      <c r="B8" s="20" t="s">
        <v>73</v>
      </c>
      <c r="C8" s="20">
        <v>463</v>
      </c>
      <c r="D8" s="20">
        <v>9</v>
      </c>
      <c r="E8" s="20">
        <v>501</v>
      </c>
      <c r="F8" s="20">
        <v>11</v>
      </c>
      <c r="G8" s="20">
        <v>259</v>
      </c>
      <c r="H8" s="20">
        <v>28</v>
      </c>
      <c r="I8" s="20">
        <v>337</v>
      </c>
      <c r="J8" s="20">
        <v>22</v>
      </c>
    </row>
    <row r="9" spans="1:10">
      <c r="A9" s="20" t="s">
        <v>98</v>
      </c>
      <c r="B9" s="20" t="s">
        <v>71</v>
      </c>
      <c r="C9" s="20">
        <v>459</v>
      </c>
      <c r="D9" s="20">
        <v>12</v>
      </c>
      <c r="E9" s="20">
        <v>497</v>
      </c>
      <c r="F9" s="20">
        <v>13</v>
      </c>
      <c r="G9" s="20">
        <v>269</v>
      </c>
      <c r="H9" s="20">
        <v>18</v>
      </c>
      <c r="I9" s="20">
        <v>344</v>
      </c>
      <c r="J9" s="20">
        <v>12</v>
      </c>
    </row>
    <row r="10" spans="1:10">
      <c r="A10" s="20" t="s">
        <v>98</v>
      </c>
      <c r="B10" s="20" t="s">
        <v>72</v>
      </c>
      <c r="C10" s="20">
        <v>457</v>
      </c>
      <c r="D10" s="20">
        <v>15</v>
      </c>
      <c r="E10" s="20">
        <v>497</v>
      </c>
      <c r="F10" s="20">
        <v>13</v>
      </c>
      <c r="G10" s="20">
        <v>257</v>
      </c>
      <c r="H10" s="20">
        <v>31</v>
      </c>
      <c r="I10" s="20">
        <v>330</v>
      </c>
      <c r="J10" s="20">
        <v>28</v>
      </c>
    </row>
    <row r="11" spans="1:10">
      <c r="A11" s="20" t="s">
        <v>98</v>
      </c>
      <c r="B11" s="20" t="s">
        <v>70</v>
      </c>
      <c r="C11" s="20">
        <v>458</v>
      </c>
      <c r="D11" s="20">
        <v>14</v>
      </c>
      <c r="E11" s="20">
        <v>497</v>
      </c>
      <c r="F11" s="20">
        <v>13</v>
      </c>
      <c r="G11" s="20">
        <v>253</v>
      </c>
      <c r="H11" s="20">
        <v>40</v>
      </c>
      <c r="I11" s="20">
        <v>327</v>
      </c>
      <c r="J11" s="20">
        <v>35</v>
      </c>
    </row>
    <row r="12" spans="1:10">
      <c r="A12" s="20" t="s">
        <v>98</v>
      </c>
      <c r="B12" s="20" t="s">
        <v>69</v>
      </c>
      <c r="C12" s="20">
        <v>457</v>
      </c>
      <c r="D12" s="20">
        <v>15</v>
      </c>
      <c r="E12" s="20">
        <v>495</v>
      </c>
      <c r="F12" s="20">
        <v>16</v>
      </c>
      <c r="G12" s="20">
        <v>256</v>
      </c>
      <c r="H12" s="20">
        <v>34</v>
      </c>
      <c r="I12" s="20">
        <v>330</v>
      </c>
      <c r="J12" s="20">
        <v>28</v>
      </c>
    </row>
    <row r="13" spans="1:10">
      <c r="A13" s="20" t="s">
        <v>98</v>
      </c>
      <c r="B13" s="20" t="s">
        <v>68</v>
      </c>
      <c r="C13" s="20">
        <v>455</v>
      </c>
      <c r="D13" s="20">
        <v>18</v>
      </c>
      <c r="E13" s="20">
        <v>493</v>
      </c>
      <c r="F13" s="20">
        <v>18</v>
      </c>
      <c r="G13" s="20">
        <v>264</v>
      </c>
      <c r="H13" s="20">
        <v>22</v>
      </c>
      <c r="I13" s="20">
        <v>342</v>
      </c>
      <c r="J13" s="20">
        <v>16</v>
      </c>
    </row>
    <row r="14" spans="1:10">
      <c r="A14" s="20" t="s">
        <v>98</v>
      </c>
      <c r="B14" s="20" t="s">
        <v>67</v>
      </c>
      <c r="C14" s="20">
        <v>454</v>
      </c>
      <c r="D14" s="20">
        <v>19</v>
      </c>
      <c r="E14" s="20">
        <v>492</v>
      </c>
      <c r="F14" s="20">
        <v>19</v>
      </c>
      <c r="G14" s="20">
        <v>278</v>
      </c>
      <c r="H14" s="20">
        <v>9</v>
      </c>
      <c r="I14" s="20">
        <v>343</v>
      </c>
      <c r="J14" s="20">
        <v>13</v>
      </c>
    </row>
    <row r="15" spans="1:10">
      <c r="A15" s="20" t="s">
        <v>98</v>
      </c>
      <c r="B15" s="20" t="s">
        <v>66</v>
      </c>
      <c r="C15" s="20">
        <v>457</v>
      </c>
      <c r="D15" s="20">
        <v>15</v>
      </c>
      <c r="E15" s="20">
        <v>492</v>
      </c>
      <c r="F15" s="20">
        <v>19</v>
      </c>
      <c r="G15" s="20">
        <v>265</v>
      </c>
      <c r="H15" s="20">
        <v>21</v>
      </c>
      <c r="I15" s="20">
        <v>343</v>
      </c>
      <c r="J15" s="20">
        <v>13</v>
      </c>
    </row>
    <row r="16" spans="1:10">
      <c r="A16" s="20" t="s">
        <v>98</v>
      </c>
      <c r="B16" s="20" t="s">
        <v>65</v>
      </c>
      <c r="C16" s="20">
        <v>451</v>
      </c>
      <c r="D16" s="20">
        <v>20</v>
      </c>
      <c r="E16" s="20">
        <v>491</v>
      </c>
      <c r="F16" s="20">
        <v>21</v>
      </c>
      <c r="G16" s="20">
        <v>256</v>
      </c>
      <c r="H16" s="20">
        <v>34</v>
      </c>
      <c r="I16" s="20">
        <v>334</v>
      </c>
      <c r="J16" s="20">
        <v>25</v>
      </c>
    </row>
    <row r="17" spans="1:10">
      <c r="A17" s="20" t="s">
        <v>98</v>
      </c>
      <c r="B17" s="20" t="s">
        <v>64</v>
      </c>
      <c r="C17" s="20">
        <v>451</v>
      </c>
      <c r="D17" s="20">
        <v>20</v>
      </c>
      <c r="E17" s="20">
        <v>491</v>
      </c>
      <c r="F17" s="20">
        <v>21</v>
      </c>
      <c r="G17" s="20">
        <v>245</v>
      </c>
      <c r="H17" s="20">
        <v>54</v>
      </c>
      <c r="I17" s="20">
        <v>326</v>
      </c>
      <c r="J17" s="20">
        <v>38</v>
      </c>
    </row>
    <row r="18" spans="1:10">
      <c r="A18" s="20" t="s">
        <v>98</v>
      </c>
      <c r="B18" s="20" t="s">
        <v>63</v>
      </c>
      <c r="C18" s="20">
        <v>450</v>
      </c>
      <c r="D18" s="20">
        <v>23</v>
      </c>
      <c r="E18" s="20">
        <v>489</v>
      </c>
      <c r="F18" s="20">
        <v>24</v>
      </c>
      <c r="G18" s="20">
        <v>254</v>
      </c>
      <c r="H18" s="20">
        <v>38</v>
      </c>
      <c r="I18" s="20">
        <v>328</v>
      </c>
      <c r="J18" s="20">
        <v>34</v>
      </c>
    </row>
    <row r="19" spans="1:10">
      <c r="A19" s="20" t="s">
        <v>98</v>
      </c>
      <c r="B19" s="20" t="s">
        <v>62</v>
      </c>
      <c r="C19" s="20">
        <v>451</v>
      </c>
      <c r="D19" s="20">
        <v>20</v>
      </c>
      <c r="E19" s="20">
        <v>488</v>
      </c>
      <c r="F19" s="20">
        <v>26</v>
      </c>
      <c r="G19" s="20">
        <v>275</v>
      </c>
      <c r="H19" s="20">
        <v>13</v>
      </c>
      <c r="I19" s="20">
        <v>343</v>
      </c>
      <c r="J19" s="20">
        <v>13</v>
      </c>
    </row>
    <row r="20" spans="1:10">
      <c r="A20" s="20" t="s">
        <v>98</v>
      </c>
      <c r="B20" s="20" t="s">
        <v>61</v>
      </c>
      <c r="C20" s="20">
        <v>449</v>
      </c>
      <c r="D20" s="20">
        <v>24</v>
      </c>
      <c r="E20" s="20">
        <v>486</v>
      </c>
      <c r="F20" s="20">
        <v>28</v>
      </c>
      <c r="G20" s="20">
        <v>271</v>
      </c>
      <c r="H20" s="20">
        <v>15</v>
      </c>
      <c r="I20" s="20">
        <v>339</v>
      </c>
      <c r="J20" s="20">
        <v>19</v>
      </c>
    </row>
    <row r="21" spans="1:10">
      <c r="A21" s="20" t="s">
        <v>98</v>
      </c>
      <c r="B21" s="20" t="s">
        <v>60</v>
      </c>
      <c r="C21" s="20">
        <v>442</v>
      </c>
      <c r="D21" s="20">
        <v>26</v>
      </c>
      <c r="E21" s="20">
        <v>482</v>
      </c>
      <c r="F21" s="20">
        <v>30</v>
      </c>
      <c r="G21" s="20">
        <v>248</v>
      </c>
      <c r="H21" s="20">
        <v>46</v>
      </c>
      <c r="I21" s="20">
        <v>319</v>
      </c>
      <c r="J21" s="20">
        <v>45</v>
      </c>
    </row>
    <row r="22" spans="1:10">
      <c r="A22" s="20" t="s">
        <v>98</v>
      </c>
      <c r="B22" s="20" t="s">
        <v>59</v>
      </c>
      <c r="C22" s="20">
        <v>440</v>
      </c>
      <c r="D22" s="20">
        <v>27</v>
      </c>
      <c r="E22" s="20">
        <v>479</v>
      </c>
      <c r="F22" s="20">
        <v>32</v>
      </c>
      <c r="G22" s="20">
        <v>247</v>
      </c>
      <c r="H22" s="20">
        <v>49</v>
      </c>
      <c r="I22" s="20">
        <v>325</v>
      </c>
      <c r="J22" s="20">
        <v>39</v>
      </c>
    </row>
    <row r="23" spans="1:10">
      <c r="A23" s="20" t="s">
        <v>98</v>
      </c>
      <c r="B23" s="20" t="s">
        <v>58</v>
      </c>
      <c r="C23" s="20">
        <v>435</v>
      </c>
      <c r="D23" s="20">
        <v>32</v>
      </c>
      <c r="E23" s="20">
        <v>472</v>
      </c>
      <c r="F23" s="20">
        <v>36</v>
      </c>
      <c r="G23" s="20">
        <v>261</v>
      </c>
      <c r="H23" s="20">
        <v>25</v>
      </c>
      <c r="I23" s="20">
        <v>330</v>
      </c>
      <c r="J23" s="20">
        <v>28</v>
      </c>
    </row>
    <row r="24" spans="1:10">
      <c r="A24" s="20" t="s">
        <v>98</v>
      </c>
      <c r="B24" s="20" t="s">
        <v>57</v>
      </c>
      <c r="C24" s="20">
        <v>433</v>
      </c>
      <c r="D24" s="20">
        <v>33</v>
      </c>
      <c r="E24" s="20">
        <v>471</v>
      </c>
      <c r="F24" s="20">
        <v>37</v>
      </c>
      <c r="G24" s="20">
        <v>245</v>
      </c>
      <c r="H24" s="20">
        <v>54</v>
      </c>
      <c r="I24" s="20">
        <v>325</v>
      </c>
      <c r="J24" s="20">
        <v>39</v>
      </c>
    </row>
    <row r="25" spans="1:10">
      <c r="A25" s="20" t="s">
        <v>98</v>
      </c>
      <c r="B25" s="20" t="s">
        <v>56</v>
      </c>
      <c r="C25" s="20">
        <v>433</v>
      </c>
      <c r="D25" s="20">
        <v>33</v>
      </c>
      <c r="E25" s="20">
        <v>469</v>
      </c>
      <c r="F25" s="20">
        <v>38</v>
      </c>
      <c r="G25" s="20">
        <v>251</v>
      </c>
      <c r="H25" s="20">
        <v>41</v>
      </c>
      <c r="I25" s="20">
        <v>318</v>
      </c>
      <c r="J25" s="20">
        <v>48</v>
      </c>
    </row>
    <row r="26" spans="1:10">
      <c r="A26" s="20" t="s">
        <v>98</v>
      </c>
      <c r="B26" s="20" t="s">
        <v>55</v>
      </c>
      <c r="C26" s="20">
        <v>429</v>
      </c>
      <c r="D26" s="20">
        <v>37</v>
      </c>
      <c r="E26" s="20">
        <v>466</v>
      </c>
      <c r="F26" s="20">
        <v>43</v>
      </c>
      <c r="G26" s="20">
        <v>243</v>
      </c>
      <c r="H26" s="20">
        <v>57</v>
      </c>
      <c r="I26" s="20">
        <v>322</v>
      </c>
      <c r="J26" s="20">
        <v>41</v>
      </c>
    </row>
    <row r="27" spans="1:10">
      <c r="A27" s="20" t="s">
        <v>98</v>
      </c>
      <c r="B27" s="20" t="s">
        <v>54</v>
      </c>
      <c r="C27" s="20">
        <v>428</v>
      </c>
      <c r="D27" s="20">
        <v>39</v>
      </c>
      <c r="E27" s="20">
        <v>466</v>
      </c>
      <c r="F27" s="20">
        <v>43</v>
      </c>
      <c r="G27" s="20">
        <v>230</v>
      </c>
      <c r="H27" s="20">
        <v>82</v>
      </c>
      <c r="I27" s="20">
        <v>295</v>
      </c>
      <c r="J27" s="20">
        <v>91</v>
      </c>
    </row>
    <row r="28" spans="1:10">
      <c r="A28" s="20" t="s">
        <v>98</v>
      </c>
      <c r="B28" s="20" t="s">
        <v>53</v>
      </c>
      <c r="C28" s="20">
        <v>423</v>
      </c>
      <c r="D28" s="20">
        <v>43</v>
      </c>
      <c r="E28" s="20">
        <v>462</v>
      </c>
      <c r="F28" s="20">
        <v>48</v>
      </c>
      <c r="G28" s="20">
        <v>226</v>
      </c>
      <c r="H28" s="20">
        <v>91</v>
      </c>
      <c r="I28" s="20">
        <v>309</v>
      </c>
      <c r="J28" s="20">
        <v>64</v>
      </c>
    </row>
    <row r="29" spans="1:10">
      <c r="A29" s="20" t="s">
        <v>98</v>
      </c>
      <c r="B29" s="20" t="s">
        <v>52</v>
      </c>
      <c r="C29" s="20">
        <v>424</v>
      </c>
      <c r="D29" s="20">
        <v>42</v>
      </c>
      <c r="E29" s="20">
        <v>461</v>
      </c>
      <c r="F29" s="20">
        <v>49</v>
      </c>
      <c r="G29" s="20">
        <v>241</v>
      </c>
      <c r="H29" s="20">
        <v>62</v>
      </c>
      <c r="I29" s="20">
        <v>319</v>
      </c>
      <c r="J29" s="20">
        <v>45</v>
      </c>
    </row>
    <row r="30" spans="1:10">
      <c r="A30" s="20" t="s">
        <v>98</v>
      </c>
      <c r="B30" s="20" t="s">
        <v>51</v>
      </c>
      <c r="C30" s="20">
        <v>423</v>
      </c>
      <c r="D30" s="20">
        <v>43</v>
      </c>
      <c r="E30" s="20">
        <v>460</v>
      </c>
      <c r="F30" s="20">
        <v>50</v>
      </c>
      <c r="G30" s="20">
        <v>246</v>
      </c>
      <c r="H30" s="20">
        <v>52</v>
      </c>
      <c r="I30" s="20">
        <v>316</v>
      </c>
      <c r="J30" s="20">
        <v>52</v>
      </c>
    </row>
    <row r="31" spans="1:10">
      <c r="A31" s="20" t="s">
        <v>98</v>
      </c>
      <c r="B31" s="20" t="s">
        <v>50</v>
      </c>
      <c r="C31" s="20">
        <v>419</v>
      </c>
      <c r="D31" s="20">
        <v>47</v>
      </c>
      <c r="E31" s="20">
        <v>459</v>
      </c>
      <c r="F31" s="20">
        <v>51</v>
      </c>
      <c r="G31" s="20">
        <v>229</v>
      </c>
      <c r="H31" s="20">
        <v>85</v>
      </c>
      <c r="I31" s="20">
        <v>300</v>
      </c>
      <c r="J31" s="20">
        <v>83</v>
      </c>
    </row>
    <row r="32" spans="1:10">
      <c r="A32" s="20" t="s">
        <v>98</v>
      </c>
      <c r="B32" s="20" t="s">
        <v>49</v>
      </c>
      <c r="C32" s="20">
        <v>417</v>
      </c>
      <c r="D32" s="20">
        <v>50</v>
      </c>
      <c r="E32" s="20">
        <v>454</v>
      </c>
      <c r="F32" s="20">
        <v>56</v>
      </c>
      <c r="G32" s="20">
        <v>234</v>
      </c>
      <c r="H32" s="20">
        <v>72</v>
      </c>
      <c r="I32" s="20">
        <v>310</v>
      </c>
      <c r="J32" s="20">
        <v>61</v>
      </c>
    </row>
    <row r="33" spans="1:10">
      <c r="A33" s="20" t="s">
        <v>98</v>
      </c>
      <c r="B33" s="20" t="s">
        <v>48</v>
      </c>
      <c r="C33" s="20">
        <v>415</v>
      </c>
      <c r="D33" s="20">
        <v>54</v>
      </c>
      <c r="E33" s="20">
        <v>454</v>
      </c>
      <c r="F33" s="20">
        <v>56</v>
      </c>
      <c r="G33" s="20">
        <v>232</v>
      </c>
      <c r="H33" s="20">
        <v>77</v>
      </c>
      <c r="I33" s="20">
        <v>300</v>
      </c>
      <c r="J33" s="20">
        <v>83</v>
      </c>
    </row>
    <row r="34" spans="1:10">
      <c r="A34" s="20" t="s">
        <v>98</v>
      </c>
      <c r="B34" s="20" t="s">
        <v>45</v>
      </c>
      <c r="C34" s="20">
        <v>414</v>
      </c>
      <c r="D34" s="20">
        <v>55</v>
      </c>
      <c r="E34" s="20">
        <v>449</v>
      </c>
      <c r="F34" s="20">
        <v>67</v>
      </c>
      <c r="G34" s="20">
        <v>255</v>
      </c>
      <c r="H34" s="20">
        <v>36</v>
      </c>
      <c r="I34" s="20">
        <v>318</v>
      </c>
      <c r="J34" s="20">
        <v>48</v>
      </c>
    </row>
    <row r="35" spans="1:10">
      <c r="A35" s="20" t="s">
        <v>98</v>
      </c>
      <c r="B35" s="20" t="s">
        <v>47</v>
      </c>
      <c r="C35" s="20">
        <v>414</v>
      </c>
      <c r="D35" s="20">
        <v>55</v>
      </c>
      <c r="E35" s="20">
        <v>449</v>
      </c>
      <c r="F35" s="20">
        <v>67</v>
      </c>
      <c r="G35" s="20">
        <v>251</v>
      </c>
      <c r="H35" s="20">
        <v>41</v>
      </c>
      <c r="I35" s="20">
        <v>311</v>
      </c>
      <c r="J35" s="20">
        <v>59</v>
      </c>
    </row>
    <row r="36" spans="1:10">
      <c r="A36" s="20" t="s">
        <v>98</v>
      </c>
      <c r="B36" s="20" t="s">
        <v>46</v>
      </c>
      <c r="C36" s="20">
        <v>409</v>
      </c>
      <c r="D36" s="20">
        <v>62</v>
      </c>
      <c r="E36" s="20">
        <v>449</v>
      </c>
      <c r="F36" s="20">
        <v>67</v>
      </c>
      <c r="G36" s="20">
        <v>214</v>
      </c>
      <c r="H36" s="20">
        <v>125</v>
      </c>
      <c r="I36" s="20">
        <v>290</v>
      </c>
      <c r="J36" s="20">
        <v>100</v>
      </c>
    </row>
    <row r="37" spans="1:10">
      <c r="A37" s="20" t="s">
        <v>98</v>
      </c>
      <c r="B37" s="20" t="s">
        <v>44</v>
      </c>
      <c r="C37" s="20">
        <v>408</v>
      </c>
      <c r="D37" s="20">
        <v>64</v>
      </c>
      <c r="E37" s="20">
        <v>445</v>
      </c>
      <c r="F37" s="20">
        <v>73</v>
      </c>
      <c r="G37" s="20">
        <v>232</v>
      </c>
      <c r="H37" s="20">
        <v>77</v>
      </c>
      <c r="I37" s="20">
        <v>307</v>
      </c>
      <c r="J37" s="20">
        <v>70</v>
      </c>
    </row>
    <row r="38" spans="1:10">
      <c r="A38" s="20" t="s">
        <v>98</v>
      </c>
      <c r="B38" s="20" t="s">
        <v>43</v>
      </c>
      <c r="C38" s="20">
        <v>406</v>
      </c>
      <c r="D38" s="20">
        <v>69</v>
      </c>
      <c r="E38" s="20">
        <v>444</v>
      </c>
      <c r="F38" s="20">
        <v>75</v>
      </c>
      <c r="G38" s="20">
        <v>210</v>
      </c>
      <c r="H38" s="20">
        <v>133</v>
      </c>
      <c r="I38" s="20">
        <v>288</v>
      </c>
      <c r="J38" s="20">
        <v>110</v>
      </c>
    </row>
    <row r="39" spans="1:10">
      <c r="A39" s="20" t="s">
        <v>98</v>
      </c>
      <c r="B39" s="20" t="s">
        <v>41</v>
      </c>
      <c r="C39" s="20">
        <v>408</v>
      </c>
      <c r="D39" s="20">
        <v>64</v>
      </c>
      <c r="E39" s="20">
        <v>442</v>
      </c>
      <c r="F39" s="20">
        <v>81</v>
      </c>
      <c r="G39" s="20">
        <v>257</v>
      </c>
      <c r="H39" s="20">
        <v>31</v>
      </c>
      <c r="I39" s="20">
        <v>313</v>
      </c>
      <c r="J39" s="20">
        <v>55</v>
      </c>
    </row>
    <row r="40" spans="1:10">
      <c r="A40" s="20" t="s">
        <v>98</v>
      </c>
      <c r="B40" s="20" t="s">
        <v>42</v>
      </c>
      <c r="C40" s="20">
        <v>404</v>
      </c>
      <c r="D40" s="20">
        <v>70</v>
      </c>
      <c r="E40" s="20">
        <v>442</v>
      </c>
      <c r="F40" s="20">
        <v>81</v>
      </c>
      <c r="G40" s="20">
        <v>224</v>
      </c>
      <c r="H40" s="20">
        <v>97</v>
      </c>
      <c r="I40" s="20">
        <v>294</v>
      </c>
      <c r="J40" s="20">
        <v>92</v>
      </c>
    </row>
    <row r="41" spans="1:10">
      <c r="A41" s="20" t="s">
        <v>98</v>
      </c>
      <c r="B41" s="20" t="s">
        <v>40</v>
      </c>
      <c r="C41" s="20">
        <v>404</v>
      </c>
      <c r="D41" s="20">
        <v>70</v>
      </c>
      <c r="E41" s="20">
        <v>441</v>
      </c>
      <c r="F41" s="20">
        <v>83</v>
      </c>
      <c r="G41" s="20">
        <v>201</v>
      </c>
      <c r="H41" s="20">
        <v>152</v>
      </c>
      <c r="I41" s="20">
        <v>280</v>
      </c>
      <c r="J41" s="20">
        <v>129</v>
      </c>
    </row>
    <row r="42" spans="1:10">
      <c r="A42" s="20" t="s">
        <v>98</v>
      </c>
      <c r="B42" s="20" t="s">
        <v>39</v>
      </c>
      <c r="C42" s="20">
        <v>403</v>
      </c>
      <c r="D42" s="20">
        <v>75</v>
      </c>
      <c r="E42" s="20">
        <v>440</v>
      </c>
      <c r="F42" s="20">
        <v>84</v>
      </c>
      <c r="G42" s="20">
        <v>230</v>
      </c>
      <c r="H42" s="20">
        <v>82</v>
      </c>
      <c r="I42" s="20">
        <v>292</v>
      </c>
      <c r="J42" s="20">
        <v>95</v>
      </c>
    </row>
    <row r="43" spans="1:10">
      <c r="A43" s="20" t="s">
        <v>98</v>
      </c>
      <c r="B43" s="20" t="s">
        <v>38</v>
      </c>
      <c r="C43" s="20">
        <v>409</v>
      </c>
      <c r="D43" s="20">
        <v>62</v>
      </c>
      <c r="E43" s="20">
        <v>439</v>
      </c>
      <c r="F43" s="20">
        <v>87</v>
      </c>
      <c r="G43" s="20">
        <v>259</v>
      </c>
      <c r="H43" s="20">
        <v>28</v>
      </c>
      <c r="I43" s="20">
        <v>321</v>
      </c>
      <c r="J43" s="20">
        <v>43</v>
      </c>
    </row>
    <row r="44" spans="1:10">
      <c r="A44" s="20" t="s">
        <v>98</v>
      </c>
      <c r="B44" s="20" t="s">
        <v>36</v>
      </c>
      <c r="C44" s="20">
        <v>402</v>
      </c>
      <c r="D44" s="20">
        <v>78</v>
      </c>
      <c r="E44" s="20">
        <v>437</v>
      </c>
      <c r="F44" s="20">
        <v>95</v>
      </c>
      <c r="G44" s="20">
        <v>233</v>
      </c>
      <c r="H44" s="20">
        <v>75</v>
      </c>
      <c r="I44" s="20">
        <v>290</v>
      </c>
      <c r="J44" s="20">
        <v>100</v>
      </c>
    </row>
    <row r="45" spans="1:10">
      <c r="A45" s="20" t="s">
        <v>98</v>
      </c>
      <c r="B45" s="20" t="s">
        <v>37</v>
      </c>
      <c r="C45" s="20">
        <v>401</v>
      </c>
      <c r="D45" s="20">
        <v>80</v>
      </c>
      <c r="E45" s="20">
        <v>437</v>
      </c>
      <c r="F45" s="20">
        <v>95</v>
      </c>
      <c r="G45" s="20">
        <v>224</v>
      </c>
      <c r="H45" s="20">
        <v>97</v>
      </c>
      <c r="I45" s="20">
        <v>290</v>
      </c>
      <c r="J45" s="20">
        <v>100</v>
      </c>
    </row>
    <row r="46" spans="1:10">
      <c r="A46" s="20" t="s">
        <v>98</v>
      </c>
      <c r="B46" s="20" t="s">
        <v>35</v>
      </c>
      <c r="C46" s="20">
        <v>401</v>
      </c>
      <c r="D46" s="20">
        <v>80</v>
      </c>
      <c r="E46" s="20">
        <v>435</v>
      </c>
      <c r="F46" s="20">
        <v>100</v>
      </c>
      <c r="G46" s="20">
        <v>240</v>
      </c>
      <c r="H46" s="20">
        <v>64</v>
      </c>
      <c r="I46" s="20">
        <v>301</v>
      </c>
      <c r="J46" s="20">
        <v>80</v>
      </c>
    </row>
    <row r="47" spans="1:10">
      <c r="A47" s="20" t="s">
        <v>98</v>
      </c>
      <c r="B47" s="20" t="s">
        <v>34</v>
      </c>
      <c r="C47" s="20">
        <v>397</v>
      </c>
      <c r="D47" s="20">
        <v>90</v>
      </c>
      <c r="E47" s="20">
        <v>435</v>
      </c>
      <c r="F47" s="20">
        <v>100</v>
      </c>
      <c r="G47" s="20">
        <v>219</v>
      </c>
      <c r="H47" s="20">
        <v>110</v>
      </c>
      <c r="I47" s="20">
        <v>289</v>
      </c>
      <c r="J47" s="20">
        <v>107</v>
      </c>
    </row>
    <row r="48" spans="1:10">
      <c r="A48" s="20" t="s">
        <v>98</v>
      </c>
      <c r="B48" s="20" t="s">
        <v>33</v>
      </c>
      <c r="C48" s="20">
        <v>398</v>
      </c>
      <c r="D48" s="20">
        <v>88</v>
      </c>
      <c r="E48" s="20">
        <v>431</v>
      </c>
      <c r="F48" s="20">
        <v>105</v>
      </c>
      <c r="G48" s="20">
        <v>233</v>
      </c>
      <c r="H48" s="20">
        <v>75</v>
      </c>
      <c r="I48" s="20">
        <v>304</v>
      </c>
      <c r="J48" s="20">
        <v>74</v>
      </c>
    </row>
    <row r="49" spans="1:10">
      <c r="A49" s="20" t="s">
        <v>98</v>
      </c>
      <c r="B49" s="20" t="s">
        <v>32</v>
      </c>
      <c r="C49" s="20">
        <v>397</v>
      </c>
      <c r="D49" s="20">
        <v>90</v>
      </c>
      <c r="E49" s="20">
        <v>431</v>
      </c>
      <c r="F49" s="20">
        <v>105</v>
      </c>
      <c r="G49" s="20">
        <v>216</v>
      </c>
      <c r="H49" s="20">
        <v>122</v>
      </c>
      <c r="I49" s="20">
        <v>283</v>
      </c>
      <c r="J49" s="20">
        <v>121</v>
      </c>
    </row>
    <row r="50" spans="1:10">
      <c r="A50" s="20" t="s">
        <v>98</v>
      </c>
      <c r="B50" s="20" t="s">
        <v>31</v>
      </c>
      <c r="C50" s="20">
        <v>386</v>
      </c>
      <c r="D50" s="20">
        <v>107</v>
      </c>
      <c r="E50" s="20">
        <v>418</v>
      </c>
      <c r="F50" s="20">
        <v>122</v>
      </c>
      <c r="G50" s="20">
        <v>224</v>
      </c>
      <c r="H50" s="20">
        <v>97</v>
      </c>
      <c r="I50" s="20">
        <v>290</v>
      </c>
      <c r="J50" s="20">
        <v>100</v>
      </c>
    </row>
    <row r="51" spans="1:10">
      <c r="A51" s="20" t="s">
        <v>98</v>
      </c>
      <c r="B51" s="20" t="s">
        <v>30</v>
      </c>
      <c r="C51" s="20">
        <v>378</v>
      </c>
      <c r="D51" s="20">
        <v>120</v>
      </c>
      <c r="E51" s="20">
        <v>414</v>
      </c>
      <c r="F51" s="20">
        <v>130</v>
      </c>
      <c r="G51" s="20">
        <v>196</v>
      </c>
      <c r="H51" s="20">
        <v>158</v>
      </c>
      <c r="I51" s="20">
        <v>274</v>
      </c>
      <c r="J51" s="20">
        <v>139</v>
      </c>
    </row>
    <row r="52" spans="1:10">
      <c r="A52" s="20" t="s">
        <v>98</v>
      </c>
      <c r="B52" s="20" t="s">
        <v>29</v>
      </c>
      <c r="C52" s="20">
        <v>371</v>
      </c>
      <c r="D52" s="20">
        <v>128</v>
      </c>
      <c r="E52" s="20">
        <v>405</v>
      </c>
      <c r="F52" s="20">
        <v>142</v>
      </c>
      <c r="G52" s="20">
        <v>207</v>
      </c>
      <c r="H52" s="20">
        <v>141</v>
      </c>
      <c r="I52" s="20">
        <v>271</v>
      </c>
      <c r="J52" s="20">
        <v>145</v>
      </c>
    </row>
    <row r="53" spans="1:10">
      <c r="A53" s="20" t="s">
        <v>98</v>
      </c>
      <c r="B53" s="20" t="s">
        <v>28</v>
      </c>
      <c r="C53" s="20">
        <v>368</v>
      </c>
      <c r="D53" s="20">
        <v>130</v>
      </c>
      <c r="E53" s="20">
        <v>403</v>
      </c>
      <c r="F53" s="20">
        <v>145</v>
      </c>
      <c r="G53" s="20">
        <v>203</v>
      </c>
      <c r="H53" s="20">
        <v>149</v>
      </c>
      <c r="I53" s="20">
        <v>264</v>
      </c>
      <c r="J53" s="20">
        <v>154</v>
      </c>
    </row>
    <row r="54" spans="1:10">
      <c r="A54" s="20" t="s">
        <v>98</v>
      </c>
      <c r="B54" s="20" t="s">
        <v>27</v>
      </c>
      <c r="C54" s="20">
        <v>355</v>
      </c>
      <c r="D54" s="20">
        <v>147</v>
      </c>
      <c r="E54" s="20">
        <v>393</v>
      </c>
      <c r="F54" s="20">
        <v>153</v>
      </c>
      <c r="G54" s="20">
        <v>189</v>
      </c>
      <c r="H54" s="20">
        <v>163</v>
      </c>
      <c r="I54" s="20">
        <v>243</v>
      </c>
      <c r="J54" s="20">
        <v>178</v>
      </c>
    </row>
    <row r="55" spans="1:10">
      <c r="A55" s="20" t="s">
        <v>98</v>
      </c>
      <c r="B55" s="20" t="s">
        <v>26</v>
      </c>
      <c r="C55" s="20">
        <v>356</v>
      </c>
      <c r="D55" s="20">
        <v>144</v>
      </c>
      <c r="E55" s="20">
        <v>383</v>
      </c>
      <c r="F55" s="20">
        <v>163</v>
      </c>
      <c r="G55" s="20">
        <v>208</v>
      </c>
      <c r="H55" s="20">
        <v>139</v>
      </c>
      <c r="I55" s="20">
        <v>274</v>
      </c>
      <c r="J55" s="20">
        <v>139</v>
      </c>
    </row>
    <row r="56" spans="1:10">
      <c r="A56" s="28"/>
      <c r="B56" s="28"/>
      <c r="C56" s="16" t="s">
        <v>92</v>
      </c>
      <c r="D56" s="16" t="s">
        <v>93</v>
      </c>
      <c r="E56" s="18" t="s">
        <v>92</v>
      </c>
      <c r="F56" s="18" t="s">
        <v>93</v>
      </c>
      <c r="G56" s="16" t="s">
        <v>92</v>
      </c>
      <c r="H56" s="16" t="s">
        <v>93</v>
      </c>
      <c r="I56" s="18" t="s">
        <v>92</v>
      </c>
      <c r="J56" s="18" t="s">
        <v>93</v>
      </c>
    </row>
  </sheetData>
  <mergeCells count="4">
    <mergeCell ref="C1:D1"/>
    <mergeCell ref="E1:F1"/>
    <mergeCell ref="G1:H1"/>
    <mergeCell ref="I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"/>
  <sheetViews>
    <sheetView workbookViewId="0">
      <selection activeCell="I56" sqref="I56"/>
    </sheetView>
  </sheetViews>
  <sheetFormatPr defaultColWidth="8.725" defaultRowHeight="13.5"/>
  <cols>
    <col min="9" max="9" width="14"/>
  </cols>
  <sheetData>
    <row r="1" spans="1:17">
      <c r="A1" s="15" t="s">
        <v>1</v>
      </c>
      <c r="B1" s="16" t="s">
        <v>86</v>
      </c>
      <c r="C1" s="17"/>
      <c r="D1" s="18" t="s">
        <v>87</v>
      </c>
      <c r="E1" s="17"/>
      <c r="F1" s="16" t="s">
        <v>105</v>
      </c>
      <c r="G1" s="17"/>
      <c r="H1" s="18" t="s">
        <v>89</v>
      </c>
      <c r="I1" s="17"/>
      <c r="J1" s="16" t="s">
        <v>90</v>
      </c>
      <c r="K1" s="17"/>
      <c r="L1" s="17"/>
      <c r="M1" s="17"/>
      <c r="N1" s="18" t="s">
        <v>91</v>
      </c>
      <c r="O1" s="17"/>
      <c r="P1" s="17"/>
      <c r="Q1" s="17"/>
    </row>
    <row r="2" spans="1:17">
      <c r="A2" s="19" t="s">
        <v>79</v>
      </c>
      <c r="B2" s="20">
        <v>104</v>
      </c>
      <c r="C2" s="20">
        <v>19</v>
      </c>
      <c r="D2" s="20">
        <v>106</v>
      </c>
      <c r="E2" s="20">
        <v>1</v>
      </c>
      <c r="F2" s="20">
        <v>97</v>
      </c>
      <c r="G2" s="20">
        <v>34</v>
      </c>
      <c r="H2" s="20">
        <v>83</v>
      </c>
      <c r="I2" s="20">
        <v>4</v>
      </c>
      <c r="J2" s="20">
        <v>58</v>
      </c>
      <c r="K2" s="20" t="s">
        <v>99</v>
      </c>
      <c r="L2" s="20">
        <v>84</v>
      </c>
      <c r="M2" s="20">
        <v>12</v>
      </c>
      <c r="N2" s="20">
        <v>68</v>
      </c>
      <c r="O2" s="20" t="s">
        <v>100</v>
      </c>
      <c r="P2" s="20">
        <v>82</v>
      </c>
      <c r="Q2" s="20">
        <v>16</v>
      </c>
    </row>
    <row r="3" spans="1:17">
      <c r="A3" s="20" t="s">
        <v>78</v>
      </c>
      <c r="B3" s="20">
        <v>105</v>
      </c>
      <c r="C3" s="20">
        <v>17</v>
      </c>
      <c r="D3" s="20">
        <v>87</v>
      </c>
      <c r="E3" s="20">
        <v>11</v>
      </c>
      <c r="F3" s="20">
        <v>112</v>
      </c>
      <c r="G3" s="20">
        <v>11</v>
      </c>
      <c r="H3" s="20">
        <v>68</v>
      </c>
      <c r="I3" s="20">
        <v>94</v>
      </c>
      <c r="J3" s="20">
        <v>53</v>
      </c>
      <c r="K3" s="20" t="s">
        <v>100</v>
      </c>
      <c r="L3" s="20">
        <v>80</v>
      </c>
      <c r="M3" s="20">
        <v>28</v>
      </c>
      <c r="N3" s="20">
        <v>74</v>
      </c>
      <c r="O3" s="20" t="s">
        <v>99</v>
      </c>
      <c r="P3" s="20">
        <v>86</v>
      </c>
      <c r="Q3" s="20">
        <v>3</v>
      </c>
    </row>
    <row r="4" spans="1:17">
      <c r="A4" s="20" t="s">
        <v>74</v>
      </c>
      <c r="B4" s="20">
        <v>107</v>
      </c>
      <c r="C4" s="20">
        <v>10</v>
      </c>
      <c r="D4" s="20">
        <v>94</v>
      </c>
      <c r="E4" s="20">
        <v>5</v>
      </c>
      <c r="F4" s="20">
        <v>92</v>
      </c>
      <c r="G4" s="20">
        <v>49</v>
      </c>
      <c r="H4" s="20">
        <v>63</v>
      </c>
      <c r="I4" s="20">
        <v>139</v>
      </c>
      <c r="J4" s="20">
        <v>50</v>
      </c>
      <c r="K4" s="20" t="s">
        <v>100</v>
      </c>
      <c r="L4" s="20">
        <v>76</v>
      </c>
      <c r="M4" s="20">
        <v>52</v>
      </c>
      <c r="N4" s="20">
        <v>66</v>
      </c>
      <c r="O4" s="20" t="s">
        <v>100</v>
      </c>
      <c r="P4" s="20">
        <v>79</v>
      </c>
      <c r="Q4" s="20">
        <v>25</v>
      </c>
    </row>
    <row r="5" spans="1:17">
      <c r="A5" s="20" t="s">
        <v>77</v>
      </c>
      <c r="B5" s="20">
        <v>109</v>
      </c>
      <c r="C5" s="20">
        <v>8</v>
      </c>
      <c r="D5" s="20">
        <v>65</v>
      </c>
      <c r="E5" s="20">
        <v>47</v>
      </c>
      <c r="F5" s="20">
        <v>118</v>
      </c>
      <c r="G5" s="20">
        <v>4</v>
      </c>
      <c r="H5" s="20">
        <v>78</v>
      </c>
      <c r="I5" s="20">
        <v>18</v>
      </c>
      <c r="J5" s="20">
        <v>56</v>
      </c>
      <c r="K5" s="20" t="s">
        <v>99</v>
      </c>
      <c r="L5" s="20">
        <v>83</v>
      </c>
      <c r="M5" s="20">
        <v>19</v>
      </c>
      <c r="N5" s="20">
        <v>68</v>
      </c>
      <c r="O5" s="20" t="s">
        <v>100</v>
      </c>
      <c r="P5" s="20">
        <v>82</v>
      </c>
      <c r="Q5" s="20">
        <v>16</v>
      </c>
    </row>
    <row r="6" spans="1:17">
      <c r="A6" s="20" t="s">
        <v>76</v>
      </c>
      <c r="B6" s="20">
        <v>114</v>
      </c>
      <c r="C6" s="20">
        <v>1</v>
      </c>
      <c r="D6" s="20">
        <v>88</v>
      </c>
      <c r="E6" s="20">
        <v>10</v>
      </c>
      <c r="F6" s="20">
        <v>85</v>
      </c>
      <c r="G6" s="20">
        <v>77</v>
      </c>
      <c r="H6" s="20">
        <v>80</v>
      </c>
      <c r="I6" s="20">
        <v>11</v>
      </c>
      <c r="J6" s="20">
        <v>66</v>
      </c>
      <c r="K6" s="20" t="s">
        <v>99</v>
      </c>
      <c r="L6" s="20">
        <v>90</v>
      </c>
      <c r="M6" s="20">
        <v>1</v>
      </c>
      <c r="N6" s="20">
        <v>64</v>
      </c>
      <c r="O6" s="20" t="s">
        <v>100</v>
      </c>
      <c r="P6" s="20">
        <v>77</v>
      </c>
      <c r="Q6" s="20">
        <v>33</v>
      </c>
    </row>
    <row r="7" spans="1:17">
      <c r="A7" s="20" t="s">
        <v>75</v>
      </c>
      <c r="B7" s="20">
        <v>102</v>
      </c>
      <c r="C7" s="20">
        <v>32</v>
      </c>
      <c r="D7" s="20">
        <v>71</v>
      </c>
      <c r="E7" s="20">
        <v>31</v>
      </c>
      <c r="F7" s="20">
        <v>111</v>
      </c>
      <c r="G7" s="20">
        <v>14</v>
      </c>
      <c r="H7" s="20">
        <v>73</v>
      </c>
      <c r="I7" s="20">
        <v>48</v>
      </c>
      <c r="J7" s="20">
        <v>55</v>
      </c>
      <c r="K7" s="20" t="s">
        <v>100</v>
      </c>
      <c r="L7" s="20">
        <v>82</v>
      </c>
      <c r="M7" s="20">
        <v>21</v>
      </c>
      <c r="N7" s="20">
        <v>66</v>
      </c>
      <c r="O7" s="20" t="s">
        <v>100</v>
      </c>
      <c r="P7" s="20">
        <v>79</v>
      </c>
      <c r="Q7" s="20">
        <v>25</v>
      </c>
    </row>
    <row r="8" spans="1:17">
      <c r="A8" s="20" t="s">
        <v>67</v>
      </c>
      <c r="B8" s="20">
        <v>95</v>
      </c>
      <c r="C8" s="20">
        <v>81</v>
      </c>
      <c r="D8" s="20">
        <v>91</v>
      </c>
      <c r="E8" s="20">
        <v>8</v>
      </c>
      <c r="F8" s="20">
        <v>92</v>
      </c>
      <c r="G8" s="20">
        <v>49</v>
      </c>
      <c r="H8" s="20">
        <v>65</v>
      </c>
      <c r="I8" s="20">
        <v>123</v>
      </c>
      <c r="J8" s="20">
        <v>45</v>
      </c>
      <c r="K8" s="20" t="s">
        <v>102</v>
      </c>
      <c r="L8" s="20">
        <v>70</v>
      </c>
      <c r="M8" s="20">
        <v>99</v>
      </c>
      <c r="N8" s="20">
        <v>66</v>
      </c>
      <c r="O8" s="20" t="s">
        <v>100</v>
      </c>
      <c r="P8" s="20">
        <v>79</v>
      </c>
      <c r="Q8" s="20">
        <v>25</v>
      </c>
    </row>
    <row r="9" spans="1:17">
      <c r="A9" s="20" t="s">
        <v>62</v>
      </c>
      <c r="B9" s="20">
        <v>99</v>
      </c>
      <c r="C9" s="20">
        <v>48</v>
      </c>
      <c r="D9" s="20">
        <v>58</v>
      </c>
      <c r="E9" s="20">
        <v>65</v>
      </c>
      <c r="F9" s="20">
        <v>118</v>
      </c>
      <c r="G9" s="20">
        <v>4</v>
      </c>
      <c r="H9" s="20">
        <v>68</v>
      </c>
      <c r="I9" s="20">
        <v>94</v>
      </c>
      <c r="J9" s="20">
        <v>46</v>
      </c>
      <c r="K9" s="20" t="s">
        <v>100</v>
      </c>
      <c r="L9" s="20">
        <v>71</v>
      </c>
      <c r="M9" s="20">
        <v>87</v>
      </c>
      <c r="N9" s="20">
        <v>62</v>
      </c>
      <c r="O9" s="20" t="s">
        <v>100</v>
      </c>
      <c r="P9" s="20">
        <v>74</v>
      </c>
      <c r="Q9" s="20">
        <v>43</v>
      </c>
    </row>
    <row r="10" spans="1:17">
      <c r="A10" s="20" t="s">
        <v>61</v>
      </c>
      <c r="B10" s="20">
        <v>97</v>
      </c>
      <c r="C10" s="20">
        <v>64</v>
      </c>
      <c r="D10" s="20">
        <v>73</v>
      </c>
      <c r="E10" s="20">
        <v>28</v>
      </c>
      <c r="F10" s="20">
        <v>101</v>
      </c>
      <c r="G10" s="20">
        <v>30</v>
      </c>
      <c r="H10" s="20">
        <v>68</v>
      </c>
      <c r="I10" s="20">
        <v>94</v>
      </c>
      <c r="J10" s="20">
        <v>50</v>
      </c>
      <c r="K10" s="20" t="s">
        <v>100</v>
      </c>
      <c r="L10" s="20">
        <v>76</v>
      </c>
      <c r="M10" s="20">
        <v>52</v>
      </c>
      <c r="N10" s="20">
        <v>60</v>
      </c>
      <c r="O10" s="20" t="s">
        <v>100</v>
      </c>
      <c r="P10" s="20">
        <v>71</v>
      </c>
      <c r="Q10" s="20">
        <v>53</v>
      </c>
    </row>
    <row r="11" spans="1:17">
      <c r="A11" s="20" t="s">
        <v>71</v>
      </c>
      <c r="B11" s="20">
        <v>112</v>
      </c>
      <c r="C11" s="20">
        <v>2</v>
      </c>
      <c r="D11" s="20">
        <v>52</v>
      </c>
      <c r="E11" s="20">
        <v>81</v>
      </c>
      <c r="F11" s="20">
        <v>105</v>
      </c>
      <c r="G11" s="20">
        <v>7</v>
      </c>
      <c r="H11" s="20">
        <v>75</v>
      </c>
      <c r="I11" s="20">
        <v>38</v>
      </c>
      <c r="J11" s="20">
        <v>45</v>
      </c>
      <c r="K11" s="20" t="s">
        <v>102</v>
      </c>
      <c r="L11" s="20">
        <v>70</v>
      </c>
      <c r="M11" s="20">
        <v>99</v>
      </c>
      <c r="N11" s="20">
        <v>70</v>
      </c>
      <c r="O11" s="20" t="s">
        <v>99</v>
      </c>
      <c r="P11" s="20">
        <v>83</v>
      </c>
      <c r="Q11" s="20">
        <v>12</v>
      </c>
    </row>
    <row r="12" spans="1:17">
      <c r="A12" s="20" t="s">
        <v>66</v>
      </c>
      <c r="B12" s="20">
        <v>86</v>
      </c>
      <c r="C12" s="20">
        <v>143</v>
      </c>
      <c r="D12" s="20">
        <v>60</v>
      </c>
      <c r="E12" s="20">
        <v>58</v>
      </c>
      <c r="F12" s="20">
        <v>119</v>
      </c>
      <c r="G12" s="20">
        <v>2</v>
      </c>
      <c r="H12" s="20">
        <v>78</v>
      </c>
      <c r="I12" s="20">
        <v>18</v>
      </c>
      <c r="J12" s="20">
        <v>36</v>
      </c>
      <c r="K12" s="20" t="s">
        <v>102</v>
      </c>
      <c r="L12" s="20">
        <v>59</v>
      </c>
      <c r="M12" s="20">
        <v>168</v>
      </c>
      <c r="N12" s="20">
        <v>78</v>
      </c>
      <c r="O12" s="20" t="s">
        <v>99</v>
      </c>
      <c r="P12" s="20">
        <v>90</v>
      </c>
      <c r="Q12" s="20">
        <v>2</v>
      </c>
    </row>
    <row r="13" spans="1:17">
      <c r="A13" s="20" t="s">
        <v>68</v>
      </c>
      <c r="B13" s="20">
        <v>99</v>
      </c>
      <c r="C13" s="20">
        <v>48</v>
      </c>
      <c r="D13" s="20">
        <v>83</v>
      </c>
      <c r="E13" s="20">
        <v>16</v>
      </c>
      <c r="F13" s="20">
        <v>82</v>
      </c>
      <c r="G13" s="20">
        <v>87</v>
      </c>
      <c r="H13" s="20">
        <v>78</v>
      </c>
      <c r="I13" s="20">
        <v>18</v>
      </c>
      <c r="J13" s="20">
        <v>53</v>
      </c>
      <c r="K13" s="20" t="s">
        <v>100</v>
      </c>
      <c r="L13" s="20">
        <v>80</v>
      </c>
      <c r="M13" s="20">
        <v>28</v>
      </c>
      <c r="N13" s="20">
        <v>60</v>
      </c>
      <c r="O13" s="20" t="s">
        <v>100</v>
      </c>
      <c r="P13" s="20">
        <v>71</v>
      </c>
      <c r="Q13" s="20">
        <v>53</v>
      </c>
    </row>
    <row r="14" spans="1:17">
      <c r="A14" s="20" t="s">
        <v>58</v>
      </c>
      <c r="B14" s="20">
        <v>100</v>
      </c>
      <c r="C14" s="20">
        <v>42</v>
      </c>
      <c r="D14" s="20">
        <v>93</v>
      </c>
      <c r="E14" s="20">
        <v>6</v>
      </c>
      <c r="F14" s="20">
        <v>68</v>
      </c>
      <c r="G14" s="20">
        <v>121</v>
      </c>
      <c r="H14" s="20">
        <v>69</v>
      </c>
      <c r="I14" s="20">
        <v>83</v>
      </c>
      <c r="J14" s="20">
        <v>47</v>
      </c>
      <c r="K14" s="20" t="s">
        <v>100</v>
      </c>
      <c r="L14" s="20">
        <v>72</v>
      </c>
      <c r="M14" s="20">
        <v>76</v>
      </c>
      <c r="N14" s="20">
        <v>58</v>
      </c>
      <c r="O14" s="20" t="s">
        <v>102</v>
      </c>
      <c r="P14" s="20">
        <v>70</v>
      </c>
      <c r="Q14" s="20">
        <v>60</v>
      </c>
    </row>
    <row r="15" spans="1:17">
      <c r="A15" s="20" t="s">
        <v>73</v>
      </c>
      <c r="B15" s="20">
        <v>95</v>
      </c>
      <c r="C15" s="20">
        <v>81</v>
      </c>
      <c r="D15" s="20">
        <v>104</v>
      </c>
      <c r="E15" s="20">
        <v>2</v>
      </c>
      <c r="F15" s="20">
        <v>60</v>
      </c>
      <c r="G15" s="20">
        <v>145</v>
      </c>
      <c r="H15" s="20">
        <v>78</v>
      </c>
      <c r="I15" s="20">
        <v>18</v>
      </c>
      <c r="J15" s="20">
        <v>52</v>
      </c>
      <c r="K15" s="20" t="s">
        <v>100</v>
      </c>
      <c r="L15" s="20">
        <v>78</v>
      </c>
      <c r="M15" s="20">
        <v>39</v>
      </c>
      <c r="N15" s="20">
        <v>74</v>
      </c>
      <c r="O15" s="20" t="s">
        <v>99</v>
      </c>
      <c r="P15" s="20">
        <v>86</v>
      </c>
      <c r="Q15" s="20">
        <v>3</v>
      </c>
    </row>
    <row r="16" spans="1:17">
      <c r="A16" s="20" t="s">
        <v>38</v>
      </c>
      <c r="B16" s="20">
        <v>94</v>
      </c>
      <c r="C16" s="20">
        <v>87</v>
      </c>
      <c r="D16" s="20">
        <v>53</v>
      </c>
      <c r="E16" s="20">
        <v>78</v>
      </c>
      <c r="F16" s="20">
        <v>112</v>
      </c>
      <c r="G16" s="20">
        <v>11</v>
      </c>
      <c r="H16" s="20">
        <v>62</v>
      </c>
      <c r="I16" s="20">
        <v>148</v>
      </c>
      <c r="J16" s="20">
        <v>42</v>
      </c>
      <c r="K16" s="20" t="s">
        <v>102</v>
      </c>
      <c r="L16" s="20">
        <v>66</v>
      </c>
      <c r="M16" s="20">
        <v>128</v>
      </c>
      <c r="N16" s="20">
        <v>46</v>
      </c>
      <c r="O16" s="20" t="s">
        <v>103</v>
      </c>
      <c r="P16" s="20">
        <v>52</v>
      </c>
      <c r="Q16" s="20">
        <v>97</v>
      </c>
    </row>
    <row r="17" spans="1:17">
      <c r="A17" s="20" t="s">
        <v>72</v>
      </c>
      <c r="B17" s="20">
        <v>100</v>
      </c>
      <c r="C17" s="20">
        <v>42</v>
      </c>
      <c r="D17" s="20">
        <v>69</v>
      </c>
      <c r="E17" s="20">
        <v>38</v>
      </c>
      <c r="F17" s="20">
        <v>88</v>
      </c>
      <c r="G17" s="20">
        <v>69</v>
      </c>
      <c r="H17" s="20">
        <v>73</v>
      </c>
      <c r="I17" s="20">
        <v>48</v>
      </c>
      <c r="J17" s="20">
        <v>57</v>
      </c>
      <c r="K17" s="20" t="s">
        <v>99</v>
      </c>
      <c r="L17" s="20">
        <v>84</v>
      </c>
      <c r="M17" s="20">
        <v>14</v>
      </c>
      <c r="N17" s="20">
        <v>70</v>
      </c>
      <c r="O17" s="20" t="s">
        <v>99</v>
      </c>
      <c r="P17" s="20">
        <v>83</v>
      </c>
      <c r="Q17" s="20">
        <v>12</v>
      </c>
    </row>
    <row r="18" spans="1:17">
      <c r="A18" s="20" t="s">
        <v>41</v>
      </c>
      <c r="B18" s="20">
        <v>83</v>
      </c>
      <c r="C18" s="20">
        <v>164</v>
      </c>
      <c r="D18" s="20">
        <v>85</v>
      </c>
      <c r="E18" s="20">
        <v>14</v>
      </c>
      <c r="F18" s="20">
        <v>89</v>
      </c>
      <c r="G18" s="20">
        <v>66</v>
      </c>
      <c r="H18" s="20">
        <v>56</v>
      </c>
      <c r="I18" s="20">
        <v>173</v>
      </c>
      <c r="J18" s="20">
        <v>39</v>
      </c>
      <c r="K18" s="20" t="s">
        <v>102</v>
      </c>
      <c r="L18" s="20">
        <v>63</v>
      </c>
      <c r="M18" s="20">
        <v>152</v>
      </c>
      <c r="N18" s="20">
        <v>56</v>
      </c>
      <c r="O18" s="20" t="s">
        <v>102</v>
      </c>
      <c r="P18" s="20">
        <v>66</v>
      </c>
      <c r="Q18" s="20">
        <v>72</v>
      </c>
    </row>
    <row r="19" spans="1:17">
      <c r="A19" s="20" t="s">
        <v>69</v>
      </c>
      <c r="B19" s="20">
        <v>86</v>
      </c>
      <c r="C19" s="20">
        <v>143</v>
      </c>
      <c r="D19" s="20">
        <v>85</v>
      </c>
      <c r="E19" s="20">
        <v>14</v>
      </c>
      <c r="F19" s="20">
        <v>85</v>
      </c>
      <c r="G19" s="20">
        <v>77</v>
      </c>
      <c r="H19" s="20">
        <v>74</v>
      </c>
      <c r="I19" s="20">
        <v>43</v>
      </c>
      <c r="J19" s="20">
        <v>63</v>
      </c>
      <c r="K19" s="20" t="s">
        <v>99</v>
      </c>
      <c r="L19" s="20">
        <v>88</v>
      </c>
      <c r="M19" s="20">
        <v>2</v>
      </c>
      <c r="N19" s="20">
        <v>64</v>
      </c>
      <c r="O19" s="20" t="s">
        <v>100</v>
      </c>
      <c r="P19" s="20">
        <v>77</v>
      </c>
      <c r="Q19" s="20">
        <v>33</v>
      </c>
    </row>
    <row r="20" spans="1:17">
      <c r="A20" s="20" t="s">
        <v>65</v>
      </c>
      <c r="B20" s="20">
        <v>105</v>
      </c>
      <c r="C20" s="20">
        <v>17</v>
      </c>
      <c r="D20" s="20">
        <v>54</v>
      </c>
      <c r="E20" s="20">
        <v>76</v>
      </c>
      <c r="F20" s="20">
        <v>97</v>
      </c>
      <c r="G20" s="20">
        <v>34</v>
      </c>
      <c r="H20" s="20">
        <v>78</v>
      </c>
      <c r="I20" s="20">
        <v>18</v>
      </c>
      <c r="J20" s="20">
        <v>49</v>
      </c>
      <c r="K20" s="20" t="s">
        <v>100</v>
      </c>
      <c r="L20" s="20">
        <v>75</v>
      </c>
      <c r="M20" s="20">
        <v>63</v>
      </c>
      <c r="N20" s="20">
        <v>68</v>
      </c>
      <c r="O20" s="20" t="s">
        <v>100</v>
      </c>
      <c r="P20" s="20">
        <v>82</v>
      </c>
      <c r="Q20" s="20">
        <v>16</v>
      </c>
    </row>
    <row r="21" spans="1:17">
      <c r="A21" s="20" t="s">
        <v>45</v>
      </c>
      <c r="B21" s="20">
        <v>104</v>
      </c>
      <c r="C21" s="20">
        <v>19</v>
      </c>
      <c r="D21" s="20">
        <v>48</v>
      </c>
      <c r="E21" s="20">
        <v>99</v>
      </c>
      <c r="F21" s="20">
        <v>103</v>
      </c>
      <c r="G21" s="20">
        <v>25</v>
      </c>
      <c r="H21" s="20">
        <v>63</v>
      </c>
      <c r="I21" s="20">
        <v>139</v>
      </c>
      <c r="J21" s="20">
        <v>38</v>
      </c>
      <c r="K21" s="20" t="s">
        <v>102</v>
      </c>
      <c r="L21" s="20">
        <v>61</v>
      </c>
      <c r="M21" s="20">
        <v>156</v>
      </c>
      <c r="N21" s="20">
        <v>58</v>
      </c>
      <c r="O21" s="20" t="s">
        <v>102</v>
      </c>
      <c r="P21" s="20">
        <v>70</v>
      </c>
      <c r="Q21" s="20">
        <v>60</v>
      </c>
    </row>
    <row r="22" spans="1:17">
      <c r="A22" s="20" t="s">
        <v>63</v>
      </c>
      <c r="B22" s="20">
        <v>100</v>
      </c>
      <c r="C22" s="20">
        <v>42</v>
      </c>
      <c r="D22" s="20">
        <v>80</v>
      </c>
      <c r="E22" s="20">
        <v>20</v>
      </c>
      <c r="F22" s="20">
        <v>74</v>
      </c>
      <c r="G22" s="20">
        <v>107</v>
      </c>
      <c r="H22" s="20">
        <v>74</v>
      </c>
      <c r="I22" s="20">
        <v>43</v>
      </c>
      <c r="J22" s="20">
        <v>50</v>
      </c>
      <c r="K22" s="20" t="s">
        <v>100</v>
      </c>
      <c r="L22" s="20">
        <v>76</v>
      </c>
      <c r="M22" s="20">
        <v>52</v>
      </c>
      <c r="N22" s="20">
        <v>72</v>
      </c>
      <c r="O22" s="20" t="s">
        <v>99</v>
      </c>
      <c r="P22" s="20">
        <v>85</v>
      </c>
      <c r="Q22" s="20">
        <v>8</v>
      </c>
    </row>
    <row r="23" spans="1:17">
      <c r="A23" s="20" t="s">
        <v>70</v>
      </c>
      <c r="B23" s="20">
        <v>91</v>
      </c>
      <c r="C23" s="20">
        <v>109</v>
      </c>
      <c r="D23" s="20">
        <v>43</v>
      </c>
      <c r="E23" s="20">
        <v>122</v>
      </c>
      <c r="F23" s="20">
        <v>119</v>
      </c>
      <c r="G23" s="20">
        <v>2</v>
      </c>
      <c r="H23" s="20">
        <v>74</v>
      </c>
      <c r="I23" s="20">
        <v>43</v>
      </c>
      <c r="J23" s="20">
        <v>63</v>
      </c>
      <c r="K23" s="20" t="s">
        <v>99</v>
      </c>
      <c r="L23" s="20">
        <v>88</v>
      </c>
      <c r="M23" s="20">
        <v>2</v>
      </c>
      <c r="N23" s="20">
        <v>68</v>
      </c>
      <c r="O23" s="20" t="s">
        <v>100</v>
      </c>
      <c r="P23" s="20">
        <v>82</v>
      </c>
      <c r="Q23" s="20">
        <v>16</v>
      </c>
    </row>
    <row r="24" spans="1:17">
      <c r="A24" s="20" t="s">
        <v>56</v>
      </c>
      <c r="B24" s="20">
        <v>91</v>
      </c>
      <c r="C24" s="20">
        <v>109</v>
      </c>
      <c r="D24" s="20">
        <v>47</v>
      </c>
      <c r="E24" s="20">
        <v>106</v>
      </c>
      <c r="F24" s="20">
        <v>113</v>
      </c>
      <c r="G24" s="20">
        <v>8</v>
      </c>
      <c r="H24" s="20">
        <v>67</v>
      </c>
      <c r="I24" s="20">
        <v>107</v>
      </c>
      <c r="J24" s="20">
        <v>59</v>
      </c>
      <c r="K24" s="20" t="s">
        <v>99</v>
      </c>
      <c r="L24" s="20">
        <v>85</v>
      </c>
      <c r="M24" s="20">
        <v>7</v>
      </c>
      <c r="N24" s="20">
        <v>56</v>
      </c>
      <c r="O24" s="20" t="s">
        <v>102</v>
      </c>
      <c r="P24" s="20">
        <v>66</v>
      </c>
      <c r="Q24" s="20">
        <v>72</v>
      </c>
    </row>
    <row r="25" spans="1:17">
      <c r="A25" s="20" t="s">
        <v>47</v>
      </c>
      <c r="B25" s="20">
        <v>83</v>
      </c>
      <c r="C25" s="20">
        <v>164</v>
      </c>
      <c r="D25" s="20">
        <v>61</v>
      </c>
      <c r="E25" s="20">
        <v>56</v>
      </c>
      <c r="F25" s="20">
        <v>107</v>
      </c>
      <c r="G25" s="20">
        <v>22</v>
      </c>
      <c r="H25" s="20">
        <v>60</v>
      </c>
      <c r="I25" s="20">
        <v>160</v>
      </c>
      <c r="J25" s="20">
        <v>47</v>
      </c>
      <c r="K25" s="20" t="s">
        <v>100</v>
      </c>
      <c r="L25" s="20">
        <v>72</v>
      </c>
      <c r="M25" s="20">
        <v>76</v>
      </c>
      <c r="N25" s="20">
        <v>56</v>
      </c>
      <c r="O25" s="20" t="s">
        <v>102</v>
      </c>
      <c r="P25" s="20">
        <v>66</v>
      </c>
      <c r="Q25" s="20">
        <v>72</v>
      </c>
    </row>
    <row r="26" spans="1:17">
      <c r="A26" s="20" t="s">
        <v>60</v>
      </c>
      <c r="B26" s="20">
        <v>92</v>
      </c>
      <c r="C26" s="20">
        <v>99</v>
      </c>
      <c r="D26" s="20">
        <v>39</v>
      </c>
      <c r="E26" s="20">
        <v>135</v>
      </c>
      <c r="F26" s="20">
        <v>117</v>
      </c>
      <c r="G26" s="20">
        <v>7</v>
      </c>
      <c r="H26" s="20">
        <v>71</v>
      </c>
      <c r="I26" s="20">
        <v>63</v>
      </c>
      <c r="J26" s="20">
        <v>57</v>
      </c>
      <c r="K26" s="20" t="s">
        <v>99</v>
      </c>
      <c r="L26" s="20">
        <v>84</v>
      </c>
      <c r="M26" s="20">
        <v>14</v>
      </c>
      <c r="N26" s="20">
        <v>66</v>
      </c>
      <c r="O26" s="20" t="s">
        <v>100</v>
      </c>
      <c r="P26" s="20">
        <v>79</v>
      </c>
      <c r="Q26" s="20">
        <v>25</v>
      </c>
    </row>
    <row r="27" spans="1:17">
      <c r="A27" s="20" t="s">
        <v>59</v>
      </c>
      <c r="B27" s="20">
        <v>99</v>
      </c>
      <c r="C27" s="20">
        <v>48</v>
      </c>
      <c r="D27" s="20">
        <v>37</v>
      </c>
      <c r="E27" s="20">
        <v>141</v>
      </c>
      <c r="F27" s="20">
        <v>111</v>
      </c>
      <c r="G27" s="20">
        <v>14</v>
      </c>
      <c r="H27" s="20">
        <v>78</v>
      </c>
      <c r="I27" s="20">
        <v>18</v>
      </c>
      <c r="J27" s="20">
        <v>51</v>
      </c>
      <c r="K27" s="20" t="s">
        <v>100</v>
      </c>
      <c r="L27" s="20">
        <v>77</v>
      </c>
      <c r="M27" s="20">
        <v>41</v>
      </c>
      <c r="N27" s="20">
        <v>64</v>
      </c>
      <c r="O27" s="20" t="s">
        <v>100</v>
      </c>
      <c r="P27" s="20">
        <v>77</v>
      </c>
      <c r="Q27" s="20">
        <v>33</v>
      </c>
    </row>
    <row r="28" spans="1:17">
      <c r="A28" s="20" t="s">
        <v>51</v>
      </c>
      <c r="B28" s="20">
        <v>112</v>
      </c>
      <c r="C28" s="20">
        <v>2</v>
      </c>
      <c r="D28" s="20">
        <v>44</v>
      </c>
      <c r="E28" s="20">
        <v>118</v>
      </c>
      <c r="F28" s="20">
        <v>90</v>
      </c>
      <c r="G28" s="20">
        <v>55</v>
      </c>
      <c r="H28" s="20">
        <v>70</v>
      </c>
      <c r="I28" s="20">
        <v>71</v>
      </c>
      <c r="J28" s="20">
        <v>45</v>
      </c>
      <c r="K28" s="20" t="s">
        <v>102</v>
      </c>
      <c r="L28" s="20">
        <v>70</v>
      </c>
      <c r="M28" s="20">
        <v>99</v>
      </c>
      <c r="N28" s="20">
        <v>62</v>
      </c>
      <c r="O28" s="20" t="s">
        <v>100</v>
      </c>
      <c r="P28" s="20">
        <v>74</v>
      </c>
      <c r="Q28" s="20">
        <v>43</v>
      </c>
    </row>
    <row r="29" spans="1:17">
      <c r="A29" s="20" t="s">
        <v>64</v>
      </c>
      <c r="B29" s="20">
        <v>86</v>
      </c>
      <c r="C29" s="20">
        <v>143</v>
      </c>
      <c r="D29" s="20">
        <v>41</v>
      </c>
      <c r="E29" s="20">
        <v>129</v>
      </c>
      <c r="F29" s="20">
        <v>118</v>
      </c>
      <c r="G29" s="20">
        <v>4</v>
      </c>
      <c r="H29" s="20">
        <v>81</v>
      </c>
      <c r="I29" s="20">
        <v>8</v>
      </c>
      <c r="J29" s="20">
        <v>53</v>
      </c>
      <c r="K29" s="20" t="s">
        <v>100</v>
      </c>
      <c r="L29" s="20">
        <v>80</v>
      </c>
      <c r="M29" s="20">
        <v>28</v>
      </c>
      <c r="N29" s="20">
        <v>72</v>
      </c>
      <c r="O29" s="20" t="s">
        <v>99</v>
      </c>
      <c r="P29" s="20">
        <v>85</v>
      </c>
      <c r="Q29" s="20">
        <v>8</v>
      </c>
    </row>
    <row r="30" spans="1:17">
      <c r="A30" s="20" t="s">
        <v>57</v>
      </c>
      <c r="B30" s="20">
        <v>91</v>
      </c>
      <c r="C30" s="20">
        <v>109</v>
      </c>
      <c r="D30" s="20">
        <v>72</v>
      </c>
      <c r="E30" s="20">
        <v>30</v>
      </c>
      <c r="F30" s="20">
        <v>82</v>
      </c>
      <c r="G30" s="20">
        <v>87</v>
      </c>
      <c r="H30" s="20">
        <v>80</v>
      </c>
      <c r="I30" s="20">
        <v>11</v>
      </c>
      <c r="J30" s="20">
        <v>40</v>
      </c>
      <c r="K30" s="20" t="s">
        <v>102</v>
      </c>
      <c r="L30" s="20">
        <v>64</v>
      </c>
      <c r="M30" s="20">
        <v>147</v>
      </c>
      <c r="N30" s="20">
        <v>68</v>
      </c>
      <c r="O30" s="20" t="s">
        <v>100</v>
      </c>
      <c r="P30" s="20">
        <v>82</v>
      </c>
      <c r="Q30" s="20">
        <v>16</v>
      </c>
    </row>
    <row r="31" spans="1:17">
      <c r="A31" s="20" t="s">
        <v>55</v>
      </c>
      <c r="B31" s="20">
        <v>101</v>
      </c>
      <c r="C31" s="20">
        <v>38</v>
      </c>
      <c r="D31" s="20">
        <v>52</v>
      </c>
      <c r="E31" s="20">
        <v>81</v>
      </c>
      <c r="F31" s="20">
        <v>90</v>
      </c>
      <c r="G31" s="20">
        <v>55</v>
      </c>
      <c r="H31" s="20">
        <v>79</v>
      </c>
      <c r="I31" s="20">
        <v>15</v>
      </c>
      <c r="J31" s="20">
        <v>45</v>
      </c>
      <c r="K31" s="20" t="s">
        <v>102</v>
      </c>
      <c r="L31" s="20">
        <v>70</v>
      </c>
      <c r="M31" s="20">
        <v>99</v>
      </c>
      <c r="N31" s="20">
        <v>62</v>
      </c>
      <c r="O31" s="20" t="s">
        <v>100</v>
      </c>
      <c r="P31" s="20">
        <v>74</v>
      </c>
      <c r="Q31" s="20">
        <v>43</v>
      </c>
    </row>
    <row r="32" spans="1:17">
      <c r="A32" s="20" t="s">
        <v>52</v>
      </c>
      <c r="B32" s="20">
        <v>94</v>
      </c>
      <c r="C32" s="20">
        <v>87</v>
      </c>
      <c r="D32" s="20">
        <v>53</v>
      </c>
      <c r="E32" s="20">
        <v>78</v>
      </c>
      <c r="F32" s="20">
        <v>94</v>
      </c>
      <c r="G32" s="20">
        <v>43</v>
      </c>
      <c r="H32" s="20">
        <v>78</v>
      </c>
      <c r="I32" s="20">
        <v>18</v>
      </c>
      <c r="J32" s="20">
        <v>47</v>
      </c>
      <c r="K32" s="20" t="s">
        <v>100</v>
      </c>
      <c r="L32" s="20">
        <v>72</v>
      </c>
      <c r="M32" s="20">
        <v>76</v>
      </c>
      <c r="N32" s="20">
        <v>58</v>
      </c>
      <c r="O32" s="20" t="s">
        <v>102</v>
      </c>
      <c r="P32" s="20">
        <v>70</v>
      </c>
      <c r="Q32" s="20">
        <v>60</v>
      </c>
    </row>
    <row r="33" spans="1:17">
      <c r="A33" s="20" t="s">
        <v>35</v>
      </c>
      <c r="B33" s="20">
        <v>80</v>
      </c>
      <c r="C33" s="20">
        <v>175</v>
      </c>
      <c r="D33" s="20">
        <v>49</v>
      </c>
      <c r="E33" s="20">
        <v>94</v>
      </c>
      <c r="F33" s="20">
        <v>111</v>
      </c>
      <c r="G33" s="20">
        <v>14</v>
      </c>
      <c r="H33" s="20">
        <v>61</v>
      </c>
      <c r="I33" s="20">
        <v>154</v>
      </c>
      <c r="J33" s="20">
        <v>50</v>
      </c>
      <c r="K33" s="20" t="s">
        <v>100</v>
      </c>
      <c r="L33" s="20">
        <v>76</v>
      </c>
      <c r="M33" s="20">
        <v>52</v>
      </c>
      <c r="N33" s="20">
        <v>50</v>
      </c>
      <c r="O33" s="20" t="s">
        <v>103</v>
      </c>
      <c r="P33" s="20">
        <v>58</v>
      </c>
      <c r="Q33" s="20">
        <v>91</v>
      </c>
    </row>
    <row r="34" spans="1:17">
      <c r="A34" s="20" t="s">
        <v>49</v>
      </c>
      <c r="B34" s="20">
        <v>93</v>
      </c>
      <c r="C34" s="20">
        <v>91</v>
      </c>
      <c r="D34" s="20">
        <v>51</v>
      </c>
      <c r="E34" s="20">
        <v>88</v>
      </c>
      <c r="F34" s="20">
        <v>90</v>
      </c>
      <c r="G34" s="20">
        <v>55</v>
      </c>
      <c r="H34" s="20">
        <v>76</v>
      </c>
      <c r="I34" s="20">
        <v>32</v>
      </c>
      <c r="J34" s="20">
        <v>45</v>
      </c>
      <c r="K34" s="20" t="s">
        <v>102</v>
      </c>
      <c r="L34" s="20">
        <v>70</v>
      </c>
      <c r="M34" s="20">
        <v>99</v>
      </c>
      <c r="N34" s="20">
        <v>62</v>
      </c>
      <c r="O34" s="20" t="s">
        <v>100</v>
      </c>
      <c r="P34" s="20">
        <v>74</v>
      </c>
      <c r="Q34" s="20">
        <v>43</v>
      </c>
    </row>
    <row r="35" spans="1:17">
      <c r="A35" s="20" t="s">
        <v>36</v>
      </c>
      <c r="B35" s="20">
        <v>98</v>
      </c>
      <c r="C35" s="20">
        <v>55</v>
      </c>
      <c r="D35" s="20">
        <v>34</v>
      </c>
      <c r="E35" s="20">
        <v>156</v>
      </c>
      <c r="F35" s="20">
        <v>101</v>
      </c>
      <c r="G35" s="20">
        <v>30</v>
      </c>
      <c r="H35" s="20">
        <v>57</v>
      </c>
      <c r="I35" s="20">
        <v>171</v>
      </c>
      <c r="J35" s="20">
        <v>38</v>
      </c>
      <c r="K35" s="20" t="s">
        <v>102</v>
      </c>
      <c r="L35" s="20">
        <v>61</v>
      </c>
      <c r="M35" s="20">
        <v>156</v>
      </c>
      <c r="N35" s="20">
        <v>74</v>
      </c>
      <c r="O35" s="20" t="s">
        <v>99</v>
      </c>
      <c r="P35" s="20">
        <v>86</v>
      </c>
      <c r="Q35" s="20">
        <v>3</v>
      </c>
    </row>
    <row r="36" spans="1:17">
      <c r="A36" s="20" t="s">
        <v>33</v>
      </c>
      <c r="B36" s="20">
        <v>94</v>
      </c>
      <c r="C36" s="20">
        <v>87</v>
      </c>
      <c r="D36" s="20">
        <v>87</v>
      </c>
      <c r="E36" s="20">
        <v>11</v>
      </c>
      <c r="F36" s="20">
        <v>52</v>
      </c>
      <c r="G36" s="20">
        <v>163</v>
      </c>
      <c r="H36" s="20">
        <v>71</v>
      </c>
      <c r="I36" s="20">
        <v>63</v>
      </c>
      <c r="J36" s="20">
        <v>32</v>
      </c>
      <c r="K36" s="20" t="s">
        <v>103</v>
      </c>
      <c r="L36" s="20">
        <v>53</v>
      </c>
      <c r="M36" s="20">
        <v>181</v>
      </c>
      <c r="N36" s="20">
        <v>62</v>
      </c>
      <c r="O36" s="20" t="s">
        <v>100</v>
      </c>
      <c r="P36" s="20">
        <v>74</v>
      </c>
      <c r="Q36" s="20">
        <v>43</v>
      </c>
    </row>
    <row r="37" spans="1:17">
      <c r="A37" s="20" t="s">
        <v>48</v>
      </c>
      <c r="B37" s="20">
        <v>96</v>
      </c>
      <c r="C37" s="20">
        <v>73</v>
      </c>
      <c r="D37" s="20">
        <v>67</v>
      </c>
      <c r="E37" s="20">
        <v>42</v>
      </c>
      <c r="F37" s="20">
        <v>69</v>
      </c>
      <c r="G37" s="20">
        <v>118</v>
      </c>
      <c r="H37" s="20">
        <v>68</v>
      </c>
      <c r="I37" s="20">
        <v>94</v>
      </c>
      <c r="J37" s="20">
        <v>51</v>
      </c>
      <c r="K37" s="20" t="s">
        <v>100</v>
      </c>
      <c r="L37" s="20">
        <v>77</v>
      </c>
      <c r="M37" s="20">
        <v>41</v>
      </c>
      <c r="N37" s="20">
        <v>64</v>
      </c>
      <c r="O37" s="20" t="s">
        <v>100</v>
      </c>
      <c r="P37" s="20">
        <v>77</v>
      </c>
      <c r="Q37" s="20">
        <v>33</v>
      </c>
    </row>
    <row r="38" spans="1:17">
      <c r="A38" s="20" t="s">
        <v>44</v>
      </c>
      <c r="B38" s="20">
        <v>102</v>
      </c>
      <c r="C38" s="20">
        <v>32</v>
      </c>
      <c r="D38" s="20">
        <v>54</v>
      </c>
      <c r="E38" s="20">
        <v>76</v>
      </c>
      <c r="F38" s="20">
        <v>76</v>
      </c>
      <c r="G38" s="20">
        <v>102</v>
      </c>
      <c r="H38" s="20">
        <v>75</v>
      </c>
      <c r="I38" s="20">
        <v>38</v>
      </c>
      <c r="J38" s="20">
        <v>43</v>
      </c>
      <c r="K38" s="20" t="s">
        <v>102</v>
      </c>
      <c r="L38" s="20">
        <v>68</v>
      </c>
      <c r="M38" s="20">
        <v>119</v>
      </c>
      <c r="N38" s="20">
        <v>58</v>
      </c>
      <c r="O38" s="20" t="s">
        <v>102</v>
      </c>
      <c r="P38" s="20">
        <v>70</v>
      </c>
      <c r="Q38" s="20">
        <v>60</v>
      </c>
    </row>
    <row r="39" spans="1:17">
      <c r="A39" s="20" t="s">
        <v>54</v>
      </c>
      <c r="B39" s="20">
        <v>86</v>
      </c>
      <c r="C39" s="20">
        <v>143</v>
      </c>
      <c r="D39" s="20">
        <v>63</v>
      </c>
      <c r="E39" s="20">
        <v>51</v>
      </c>
      <c r="F39" s="20">
        <v>81</v>
      </c>
      <c r="G39" s="20">
        <v>90</v>
      </c>
      <c r="H39" s="20">
        <v>65</v>
      </c>
      <c r="I39" s="20">
        <v>123</v>
      </c>
      <c r="J39" s="20">
        <v>59</v>
      </c>
      <c r="K39" s="20" t="s">
        <v>99</v>
      </c>
      <c r="L39" s="20">
        <v>85</v>
      </c>
      <c r="M39" s="20">
        <v>7</v>
      </c>
      <c r="N39" s="20">
        <v>74</v>
      </c>
      <c r="O39" s="20" t="s">
        <v>99</v>
      </c>
      <c r="P39" s="20">
        <v>86</v>
      </c>
      <c r="Q39" s="20">
        <v>3</v>
      </c>
    </row>
    <row r="40" spans="1:17">
      <c r="A40" s="20" t="s">
        <v>39</v>
      </c>
      <c r="B40" s="20">
        <v>106</v>
      </c>
      <c r="C40" s="20">
        <v>13</v>
      </c>
      <c r="D40" s="20">
        <v>48</v>
      </c>
      <c r="E40" s="20">
        <v>99</v>
      </c>
      <c r="F40" s="20">
        <v>76</v>
      </c>
      <c r="G40" s="20">
        <v>102</v>
      </c>
      <c r="H40" s="20">
        <v>62</v>
      </c>
      <c r="I40" s="20">
        <v>148</v>
      </c>
      <c r="J40" s="20">
        <v>51</v>
      </c>
      <c r="K40" s="20" t="s">
        <v>100</v>
      </c>
      <c r="L40" s="20">
        <v>77</v>
      </c>
      <c r="M40" s="20">
        <v>41</v>
      </c>
      <c r="N40" s="20">
        <v>60</v>
      </c>
      <c r="O40" s="20" t="s">
        <v>100</v>
      </c>
      <c r="P40" s="20">
        <v>71</v>
      </c>
      <c r="Q40" s="20">
        <v>53</v>
      </c>
    </row>
    <row r="41" spans="1:17">
      <c r="A41" s="20" t="s">
        <v>50</v>
      </c>
      <c r="B41" s="20">
        <v>97</v>
      </c>
      <c r="C41" s="20">
        <v>64</v>
      </c>
      <c r="D41" s="20">
        <v>57</v>
      </c>
      <c r="E41" s="20">
        <v>70</v>
      </c>
      <c r="F41" s="20">
        <v>75</v>
      </c>
      <c r="G41" s="20">
        <v>106</v>
      </c>
      <c r="H41" s="20">
        <v>71</v>
      </c>
      <c r="I41" s="20">
        <v>63</v>
      </c>
      <c r="J41" s="20">
        <v>51</v>
      </c>
      <c r="K41" s="20" t="s">
        <v>100</v>
      </c>
      <c r="L41" s="20">
        <v>77</v>
      </c>
      <c r="M41" s="20">
        <v>41</v>
      </c>
      <c r="N41" s="20">
        <v>68</v>
      </c>
      <c r="O41" s="20" t="s">
        <v>100</v>
      </c>
      <c r="P41" s="20">
        <v>82</v>
      </c>
      <c r="Q41" s="20">
        <v>16</v>
      </c>
    </row>
    <row r="42" spans="1:17">
      <c r="A42" s="20" t="s">
        <v>53</v>
      </c>
      <c r="B42" s="20">
        <v>107</v>
      </c>
      <c r="C42" s="20">
        <v>10</v>
      </c>
      <c r="D42" s="20">
        <v>45</v>
      </c>
      <c r="E42" s="20">
        <v>112</v>
      </c>
      <c r="F42" s="20">
        <v>74</v>
      </c>
      <c r="G42" s="20">
        <v>107</v>
      </c>
      <c r="H42" s="20">
        <v>83</v>
      </c>
      <c r="I42" s="20">
        <v>4</v>
      </c>
      <c r="J42" s="20">
        <v>50</v>
      </c>
      <c r="K42" s="20" t="s">
        <v>100</v>
      </c>
      <c r="L42" s="20">
        <v>76</v>
      </c>
      <c r="M42" s="20">
        <v>52</v>
      </c>
      <c r="N42" s="20">
        <v>64</v>
      </c>
      <c r="O42" s="20" t="s">
        <v>100</v>
      </c>
      <c r="P42" s="20">
        <v>77</v>
      </c>
      <c r="Q42" s="20">
        <v>33</v>
      </c>
    </row>
    <row r="43" spans="1:17">
      <c r="A43" s="20" t="s">
        <v>42</v>
      </c>
      <c r="B43" s="20">
        <v>88</v>
      </c>
      <c r="C43" s="20">
        <v>127</v>
      </c>
      <c r="D43" s="20">
        <v>28</v>
      </c>
      <c r="E43" s="20">
        <v>173</v>
      </c>
      <c r="F43" s="20">
        <v>108</v>
      </c>
      <c r="G43" s="20">
        <v>21</v>
      </c>
      <c r="H43" s="20">
        <v>70</v>
      </c>
      <c r="I43" s="20">
        <v>71</v>
      </c>
      <c r="J43" s="20">
        <v>42</v>
      </c>
      <c r="K43" s="20" t="s">
        <v>102</v>
      </c>
      <c r="L43" s="20">
        <v>66</v>
      </c>
      <c r="M43" s="20">
        <v>128</v>
      </c>
      <c r="N43" s="20">
        <v>68</v>
      </c>
      <c r="O43" s="20" t="s">
        <v>100</v>
      </c>
      <c r="P43" s="20">
        <v>82</v>
      </c>
      <c r="Q43" s="20">
        <v>16</v>
      </c>
    </row>
    <row r="44" spans="1:17">
      <c r="A44" s="20" t="s">
        <v>37</v>
      </c>
      <c r="B44" s="20">
        <v>99</v>
      </c>
      <c r="C44" s="20">
        <v>48</v>
      </c>
      <c r="D44" s="20">
        <v>28</v>
      </c>
      <c r="E44" s="20">
        <v>173</v>
      </c>
      <c r="F44" s="20">
        <v>97</v>
      </c>
      <c r="G44" s="20">
        <v>34</v>
      </c>
      <c r="H44" s="20">
        <v>66</v>
      </c>
      <c r="I44" s="20">
        <v>116</v>
      </c>
      <c r="J44" s="20">
        <v>57</v>
      </c>
      <c r="K44" s="20" t="s">
        <v>99</v>
      </c>
      <c r="L44" s="20">
        <v>84</v>
      </c>
      <c r="M44" s="20">
        <v>14</v>
      </c>
      <c r="N44" s="20">
        <v>54</v>
      </c>
      <c r="O44" s="20" t="s">
        <v>102</v>
      </c>
      <c r="P44" s="20">
        <v>63</v>
      </c>
      <c r="Q44" s="20">
        <v>81</v>
      </c>
    </row>
    <row r="45" spans="1:17">
      <c r="A45" s="20" t="s">
        <v>31</v>
      </c>
      <c r="B45" s="20">
        <v>97</v>
      </c>
      <c r="C45" s="20">
        <v>64</v>
      </c>
      <c r="D45" s="20">
        <v>34</v>
      </c>
      <c r="E45" s="20">
        <v>156</v>
      </c>
      <c r="F45" s="20">
        <v>93</v>
      </c>
      <c r="G45" s="20">
        <v>11</v>
      </c>
      <c r="H45" s="20">
        <v>66</v>
      </c>
      <c r="I45" s="20">
        <v>116</v>
      </c>
      <c r="J45" s="20">
        <v>44</v>
      </c>
      <c r="K45" s="20" t="s">
        <v>102</v>
      </c>
      <c r="L45" s="20">
        <v>69</v>
      </c>
      <c r="M45" s="20">
        <v>113</v>
      </c>
      <c r="N45" s="20">
        <v>52</v>
      </c>
      <c r="O45" s="20" t="s">
        <v>102</v>
      </c>
      <c r="P45" s="20">
        <v>59</v>
      </c>
      <c r="Q45" s="20">
        <v>87</v>
      </c>
    </row>
    <row r="46" spans="1:17">
      <c r="A46" s="20" t="s">
        <v>34</v>
      </c>
      <c r="B46" s="20">
        <v>104</v>
      </c>
      <c r="C46" s="20">
        <v>19</v>
      </c>
      <c r="D46" s="20">
        <v>27</v>
      </c>
      <c r="E46" s="20">
        <v>175</v>
      </c>
      <c r="F46" s="20">
        <v>88</v>
      </c>
      <c r="G46" s="20">
        <v>69</v>
      </c>
      <c r="H46" s="20">
        <v>70</v>
      </c>
      <c r="I46" s="20">
        <v>71</v>
      </c>
      <c r="J46" s="20">
        <v>50</v>
      </c>
      <c r="K46" s="20" t="s">
        <v>100</v>
      </c>
      <c r="L46" s="20">
        <v>76</v>
      </c>
      <c r="M46" s="20">
        <v>52</v>
      </c>
      <c r="N46" s="20">
        <v>58</v>
      </c>
      <c r="O46" s="20" t="s">
        <v>102</v>
      </c>
      <c r="P46" s="20">
        <v>70</v>
      </c>
      <c r="Q46" s="20">
        <v>60</v>
      </c>
    </row>
    <row r="47" spans="1:17">
      <c r="A47" s="20" t="s">
        <v>32</v>
      </c>
      <c r="B47" s="20">
        <v>91</v>
      </c>
      <c r="C47" s="20">
        <v>109</v>
      </c>
      <c r="D47" s="20">
        <v>51</v>
      </c>
      <c r="E47" s="20">
        <v>88</v>
      </c>
      <c r="F47" s="20">
        <v>74</v>
      </c>
      <c r="G47" s="20">
        <v>107</v>
      </c>
      <c r="H47" s="20">
        <v>67</v>
      </c>
      <c r="I47" s="20">
        <v>107</v>
      </c>
      <c r="J47" s="20">
        <v>34</v>
      </c>
      <c r="K47" s="20" t="s">
        <v>103</v>
      </c>
      <c r="L47" s="20">
        <v>56</v>
      </c>
      <c r="M47" s="20">
        <v>177</v>
      </c>
      <c r="N47" s="20">
        <v>80</v>
      </c>
      <c r="O47" s="20" t="s">
        <v>99</v>
      </c>
      <c r="P47" s="20">
        <v>92</v>
      </c>
      <c r="Q47" s="20">
        <v>1</v>
      </c>
    </row>
    <row r="48" spans="1:17">
      <c r="A48" s="20" t="s">
        <v>46</v>
      </c>
      <c r="B48" s="20">
        <v>96</v>
      </c>
      <c r="C48" s="20">
        <v>73</v>
      </c>
      <c r="D48" s="20">
        <v>12</v>
      </c>
      <c r="E48" s="20">
        <v>194</v>
      </c>
      <c r="F48" s="20">
        <v>106</v>
      </c>
      <c r="G48" s="20">
        <v>23</v>
      </c>
      <c r="H48" s="20">
        <v>76</v>
      </c>
      <c r="I48" s="20">
        <v>32</v>
      </c>
      <c r="J48" s="20">
        <v>53</v>
      </c>
      <c r="K48" s="20" t="s">
        <v>100</v>
      </c>
      <c r="L48" s="20">
        <v>80</v>
      </c>
      <c r="M48" s="20">
        <v>28</v>
      </c>
      <c r="N48" s="20">
        <v>66</v>
      </c>
      <c r="O48" s="20" t="s">
        <v>100</v>
      </c>
      <c r="P48" s="20">
        <v>79</v>
      </c>
      <c r="Q48" s="20">
        <v>25</v>
      </c>
    </row>
    <row r="49" spans="1:17">
      <c r="A49" s="20" t="s">
        <v>43</v>
      </c>
      <c r="B49" s="20">
        <v>97</v>
      </c>
      <c r="C49" s="20">
        <v>64</v>
      </c>
      <c r="D49" s="20">
        <v>35</v>
      </c>
      <c r="E49" s="20">
        <v>151</v>
      </c>
      <c r="F49" s="20">
        <v>78</v>
      </c>
      <c r="G49" s="20">
        <v>96</v>
      </c>
      <c r="H49" s="20">
        <v>78</v>
      </c>
      <c r="I49" s="20">
        <v>18</v>
      </c>
      <c r="J49" s="20">
        <v>46</v>
      </c>
      <c r="K49" s="20" t="s">
        <v>100</v>
      </c>
      <c r="L49" s="20">
        <v>71</v>
      </c>
      <c r="M49" s="20">
        <v>87</v>
      </c>
      <c r="N49" s="20">
        <v>72</v>
      </c>
      <c r="O49" s="20" t="s">
        <v>99</v>
      </c>
      <c r="P49" s="20">
        <v>85</v>
      </c>
      <c r="Q49" s="20">
        <v>8</v>
      </c>
    </row>
    <row r="50" spans="1:17">
      <c r="A50" s="20" t="s">
        <v>26</v>
      </c>
      <c r="B50" s="20">
        <v>86</v>
      </c>
      <c r="C50" s="20">
        <v>143</v>
      </c>
      <c r="D50" s="20">
        <v>37</v>
      </c>
      <c r="E50" s="20">
        <v>141</v>
      </c>
      <c r="F50" s="20">
        <v>85</v>
      </c>
      <c r="G50" s="20">
        <v>77</v>
      </c>
      <c r="H50" s="20">
        <v>66</v>
      </c>
      <c r="I50" s="20">
        <v>116</v>
      </c>
      <c r="J50" s="20">
        <v>26</v>
      </c>
      <c r="K50" s="20" t="s">
        <v>103</v>
      </c>
      <c r="L50" s="20">
        <v>43</v>
      </c>
      <c r="M50" s="20">
        <v>193</v>
      </c>
      <c r="N50" s="20">
        <v>56</v>
      </c>
      <c r="O50" s="20" t="s">
        <v>102</v>
      </c>
      <c r="P50" s="20">
        <v>66</v>
      </c>
      <c r="Q50" s="20">
        <v>72</v>
      </c>
    </row>
    <row r="51" spans="1:17">
      <c r="A51" s="20" t="s">
        <v>29</v>
      </c>
      <c r="B51" s="20">
        <v>90</v>
      </c>
      <c r="C51" s="20">
        <v>116</v>
      </c>
      <c r="D51" s="20">
        <v>33</v>
      </c>
      <c r="E51" s="20">
        <v>161</v>
      </c>
      <c r="F51" s="20">
        <v>84</v>
      </c>
      <c r="G51" s="20">
        <v>82</v>
      </c>
      <c r="H51" s="20">
        <v>64</v>
      </c>
      <c r="I51" s="20">
        <v>132</v>
      </c>
      <c r="J51" s="20">
        <v>46</v>
      </c>
      <c r="K51" s="20" t="s">
        <v>100</v>
      </c>
      <c r="L51" s="20">
        <v>71</v>
      </c>
      <c r="M51" s="20">
        <v>87</v>
      </c>
      <c r="N51" s="20">
        <v>54</v>
      </c>
      <c r="O51" s="20" t="s">
        <v>102</v>
      </c>
      <c r="P51" s="20">
        <v>63</v>
      </c>
      <c r="Q51" s="20">
        <v>81</v>
      </c>
    </row>
    <row r="52" spans="1:17">
      <c r="A52" s="20" t="s">
        <v>28</v>
      </c>
      <c r="B52" s="20">
        <v>88</v>
      </c>
      <c r="C52" s="20">
        <v>127</v>
      </c>
      <c r="D52" s="20">
        <v>37</v>
      </c>
      <c r="E52" s="20">
        <v>141</v>
      </c>
      <c r="F52" s="20">
        <v>78</v>
      </c>
      <c r="G52" s="20">
        <v>96</v>
      </c>
      <c r="H52" s="20">
        <v>61</v>
      </c>
      <c r="I52" s="20">
        <v>154</v>
      </c>
      <c r="J52" s="20">
        <v>48</v>
      </c>
      <c r="K52" s="20" t="s">
        <v>100</v>
      </c>
      <c r="L52" s="20">
        <v>73</v>
      </c>
      <c r="M52" s="20">
        <v>68</v>
      </c>
      <c r="N52" s="20">
        <v>56</v>
      </c>
      <c r="O52" s="20" t="s">
        <v>102</v>
      </c>
      <c r="P52" s="20">
        <v>66</v>
      </c>
      <c r="Q52" s="20">
        <v>72</v>
      </c>
    </row>
    <row r="53" spans="1:17">
      <c r="A53" s="20" t="s">
        <v>40</v>
      </c>
      <c r="B53" s="20">
        <v>98</v>
      </c>
      <c r="C53" s="20">
        <v>55</v>
      </c>
      <c r="D53" s="20">
        <v>51</v>
      </c>
      <c r="E53" s="20">
        <v>88</v>
      </c>
      <c r="F53" s="20">
        <v>52</v>
      </c>
      <c r="G53" s="20">
        <v>163</v>
      </c>
      <c r="H53" s="20">
        <v>79</v>
      </c>
      <c r="I53" s="20">
        <v>15</v>
      </c>
      <c r="J53" s="20">
        <v>62</v>
      </c>
      <c r="K53" s="20" t="s">
        <v>99</v>
      </c>
      <c r="L53" s="20">
        <v>87</v>
      </c>
      <c r="M53" s="20">
        <v>5</v>
      </c>
      <c r="N53" s="20">
        <v>62</v>
      </c>
      <c r="O53" s="20" t="s">
        <v>100</v>
      </c>
      <c r="P53" s="20">
        <v>74</v>
      </c>
      <c r="Q53" s="20">
        <v>43</v>
      </c>
    </row>
    <row r="54" spans="1:17">
      <c r="A54" s="20" t="s">
        <v>30</v>
      </c>
      <c r="B54" s="20">
        <v>97</v>
      </c>
      <c r="C54" s="20">
        <v>64</v>
      </c>
      <c r="D54" s="20">
        <v>41</v>
      </c>
      <c r="E54" s="20">
        <v>129</v>
      </c>
      <c r="F54" s="20">
        <v>58</v>
      </c>
      <c r="G54" s="20">
        <v>150</v>
      </c>
      <c r="H54" s="20">
        <v>78</v>
      </c>
      <c r="I54" s="20">
        <v>18</v>
      </c>
      <c r="J54" s="20">
        <v>42</v>
      </c>
      <c r="K54" s="20" t="s">
        <v>102</v>
      </c>
      <c r="L54" s="20">
        <v>66</v>
      </c>
      <c r="M54" s="20">
        <v>128</v>
      </c>
      <c r="N54" s="20">
        <v>62</v>
      </c>
      <c r="O54" s="20" t="s">
        <v>100</v>
      </c>
      <c r="P54" s="20">
        <v>74</v>
      </c>
      <c r="Q54" s="20">
        <v>43</v>
      </c>
    </row>
    <row r="55" spans="1:17">
      <c r="A55" s="20" t="s">
        <v>27</v>
      </c>
      <c r="B55" s="20">
        <v>81</v>
      </c>
      <c r="C55" s="20">
        <v>171</v>
      </c>
      <c r="D55" s="20">
        <v>51</v>
      </c>
      <c r="E55" s="20">
        <v>88</v>
      </c>
      <c r="F55" s="20">
        <v>57</v>
      </c>
      <c r="G55" s="20">
        <v>153</v>
      </c>
      <c r="H55" s="20">
        <v>54</v>
      </c>
      <c r="I55" s="20">
        <v>183</v>
      </c>
      <c r="J55" s="20">
        <v>48</v>
      </c>
      <c r="K55" s="20" t="s">
        <v>100</v>
      </c>
      <c r="L55" s="20">
        <v>73</v>
      </c>
      <c r="M55" s="20">
        <v>68</v>
      </c>
      <c r="N55" s="20">
        <v>64</v>
      </c>
      <c r="O55" s="20" t="s">
        <v>100</v>
      </c>
      <c r="P55" s="20">
        <v>77</v>
      </c>
      <c r="Q55" s="20">
        <v>33</v>
      </c>
    </row>
    <row r="56" ht="14.25" spans="1:17">
      <c r="A56" s="21"/>
      <c r="B56" s="21"/>
      <c r="C56" s="21"/>
      <c r="D56" s="21"/>
      <c r="E56" s="21"/>
      <c r="F56" s="21"/>
      <c r="G56" s="21"/>
      <c r="H56" s="21"/>
      <c r="I56" s="21">
        <f>AVERAGE(I2:I55)</f>
        <v>73.4259259259259</v>
      </c>
      <c r="J56" s="21"/>
      <c r="K56" s="21"/>
      <c r="L56" s="21"/>
      <c r="M56" s="21"/>
      <c r="N56" s="21"/>
      <c r="O56" s="21"/>
      <c r="P56" s="21"/>
      <c r="Q56" s="21"/>
    </row>
    <row r="57" ht="14.25" spans="1:1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ht="14.25" spans="1:17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ht="14.25" spans="1:17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</sheetData>
  <mergeCells count="6">
    <mergeCell ref="B1:C1"/>
    <mergeCell ref="D1:E1"/>
    <mergeCell ref="F1:G1"/>
    <mergeCell ref="H1:I1"/>
    <mergeCell ref="J1:M1"/>
    <mergeCell ref="N1:Q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workbookViewId="0">
      <selection activeCell="Y36" sqref="Y36"/>
    </sheetView>
  </sheetViews>
  <sheetFormatPr defaultColWidth="8.725" defaultRowHeight="13.5"/>
  <cols>
    <col min="1" max="1" width="3.275" customWidth="1"/>
    <col min="2" max="2" width="8" customWidth="1"/>
    <col min="3" max="4" width="6.54166666666667" customWidth="1"/>
    <col min="5" max="6" width="5.36666666666667" style="1" customWidth="1"/>
    <col min="7" max="7" width="6.18333333333333" style="1" customWidth="1"/>
    <col min="8" max="8" width="6" style="1" customWidth="1"/>
    <col min="9" max="9" width="5.725" style="1" customWidth="1"/>
    <col min="10" max="10" width="6.36666666666667" style="1" customWidth="1"/>
    <col min="11" max="12" width="6.54166666666667" style="1" customWidth="1"/>
    <col min="13" max="15" width="6.09166666666667" style="1" customWidth="1"/>
    <col min="16" max="23" width="4.54166666666667" style="2" customWidth="1"/>
  </cols>
  <sheetData>
    <row r="1" spans="1:23">
      <c r="A1" s="3" t="s">
        <v>106</v>
      </c>
      <c r="B1" s="3" t="s">
        <v>1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4" t="s">
        <v>86</v>
      </c>
      <c r="I1" s="4" t="s">
        <v>87</v>
      </c>
      <c r="J1" s="4" t="s">
        <v>105</v>
      </c>
      <c r="K1" s="4" t="s">
        <v>89</v>
      </c>
      <c r="L1" s="4" t="s">
        <v>90</v>
      </c>
      <c r="M1" s="4" t="s">
        <v>91</v>
      </c>
      <c r="N1" s="4" t="s">
        <v>112</v>
      </c>
      <c r="O1" s="4" t="s">
        <v>113</v>
      </c>
      <c r="P1" s="10" t="s">
        <v>110</v>
      </c>
      <c r="Q1" s="10" t="s">
        <v>111</v>
      </c>
      <c r="R1" s="10" t="s">
        <v>86</v>
      </c>
      <c r="S1" s="10" t="s">
        <v>87</v>
      </c>
      <c r="T1" s="10" t="s">
        <v>105</v>
      </c>
      <c r="U1" s="10" t="s">
        <v>89</v>
      </c>
      <c r="V1" s="10" t="s">
        <v>90</v>
      </c>
      <c r="W1" s="10" t="s">
        <v>91</v>
      </c>
    </row>
    <row r="2" ht="15" customHeight="1" spans="1:23">
      <c r="A2" s="5">
        <v>1</v>
      </c>
      <c r="B2" s="6" t="s">
        <v>78</v>
      </c>
      <c r="C2" s="5">
        <v>10624</v>
      </c>
      <c r="D2" s="5">
        <v>538</v>
      </c>
      <c r="E2" s="7">
        <f>VLOOKUP(B2,总分排位!$B$2:$F$55,5,FALSE)</f>
        <v>2</v>
      </c>
      <c r="F2" s="7">
        <f>VLOOKUP(B2,总分排位!$B$2:$F$55,5,FALSE)</f>
        <v>2</v>
      </c>
      <c r="G2" s="7">
        <f>VLOOKUP(B2,总分排位!$B$2:$J$55,9,FALSE)</f>
        <v>3</v>
      </c>
      <c r="H2" s="7">
        <f>VLOOKUP(B2,单科排位!$A$2:$C$55,3,FALSE)</f>
        <v>17</v>
      </c>
      <c r="I2" s="7">
        <f>VLOOKUP(B2,单科排位!$A$2:$E$55,5,FALSE)</f>
        <v>11</v>
      </c>
      <c r="J2" s="7">
        <f>VLOOKUP(B2,单科排位!$A$2:$G$55,7,FALSE)</f>
        <v>11</v>
      </c>
      <c r="K2" s="7">
        <f>VLOOKUP(B2,单科排位!$A$2:$I$55,9,FALSE)</f>
        <v>94</v>
      </c>
      <c r="L2" s="7">
        <f>VLOOKUP(B2,单科排位!$A$2:$M$55,13,FALSE)</f>
        <v>28</v>
      </c>
      <c r="M2" s="7">
        <f>VLOOKUP(B2,单科排位!$A$2:$Q$55,17,FALSE)</f>
        <v>3</v>
      </c>
      <c r="N2" s="7">
        <v>0</v>
      </c>
      <c r="O2" s="7">
        <v>3</v>
      </c>
      <c r="P2" s="11">
        <f t="shared" ref="P2:W2" si="0">AVERAGE(F2:F8)</f>
        <v>65.2857142857143</v>
      </c>
      <c r="Q2" s="11">
        <f t="shared" si="0"/>
        <v>67</v>
      </c>
      <c r="R2" s="11">
        <f t="shared" si="0"/>
        <v>79.2857142857143</v>
      </c>
      <c r="S2" s="11">
        <f t="shared" si="0"/>
        <v>92.8571428571429</v>
      </c>
      <c r="T2" s="11">
        <f t="shared" si="0"/>
        <v>49.5714285714286</v>
      </c>
      <c r="U2" s="11">
        <f t="shared" si="0"/>
        <v>84.2857142857143</v>
      </c>
      <c r="V2" s="11">
        <f t="shared" si="0"/>
        <v>94.8571428571429</v>
      </c>
      <c r="W2" s="11">
        <f t="shared" si="0"/>
        <v>37.8571428571429</v>
      </c>
    </row>
    <row r="3" spans="1:23">
      <c r="A3" s="5"/>
      <c r="B3" s="8" t="s">
        <v>55</v>
      </c>
      <c r="C3" s="5">
        <v>10647</v>
      </c>
      <c r="D3" s="5">
        <v>466</v>
      </c>
      <c r="E3" s="7">
        <f>VLOOKUP(B3,总分排位!$B$2:$F$55,5,FALSE)</f>
        <v>43</v>
      </c>
      <c r="F3" s="7">
        <f>VLOOKUP(B3,总分排位!$B$2:$F$55,5,FALSE)</f>
        <v>43</v>
      </c>
      <c r="G3" s="7">
        <f>VLOOKUP(B3,总分排位!$B$2:$J$55,9,FALSE)</f>
        <v>41</v>
      </c>
      <c r="H3" s="7">
        <f>VLOOKUP(B3,单科排位!$A$2:$C$55,3,FALSE)</f>
        <v>38</v>
      </c>
      <c r="I3" s="7">
        <f>VLOOKUP(B3,单科排位!$A$2:$E$55,5,FALSE)</f>
        <v>81</v>
      </c>
      <c r="J3" s="7">
        <f>VLOOKUP(B3,单科排位!$A$2:$G$55,7,FALSE)</f>
        <v>55</v>
      </c>
      <c r="K3" s="7">
        <f>VLOOKUP(B3,单科排位!$A$2:$I$55,9,FALSE)</f>
        <v>15</v>
      </c>
      <c r="L3" s="7">
        <f>VLOOKUP(B3,单科排位!$A$2:$M$55,13,FALSE)</f>
        <v>99</v>
      </c>
      <c r="M3" s="7">
        <f>VLOOKUP(B3,单科排位!$A$2:$Q$55,17,FALSE)</f>
        <v>43</v>
      </c>
      <c r="N3" s="7">
        <v>9</v>
      </c>
      <c r="O3" s="7">
        <v>-6</v>
      </c>
      <c r="P3" s="11"/>
      <c r="Q3" s="11"/>
      <c r="R3" s="11"/>
      <c r="S3" s="11"/>
      <c r="T3" s="11"/>
      <c r="U3" s="11"/>
      <c r="V3" s="11"/>
      <c r="W3" s="11"/>
    </row>
    <row r="4" spans="1:23">
      <c r="A4" s="5"/>
      <c r="B4" s="8" t="s">
        <v>50</v>
      </c>
      <c r="C4" s="5">
        <v>10619</v>
      </c>
      <c r="D4" s="5">
        <v>459</v>
      </c>
      <c r="E4" s="7">
        <f>VLOOKUP(B4,总分排位!$B$2:$F$55,5,FALSE)</f>
        <v>51</v>
      </c>
      <c r="F4" s="7">
        <f>VLOOKUP(B4,总分排位!$B$2:$F$55,5,FALSE)</f>
        <v>51</v>
      </c>
      <c r="G4" s="7">
        <f>VLOOKUP(B4,总分排位!$B$2:$J$55,9,FALSE)</f>
        <v>83</v>
      </c>
      <c r="H4" s="7">
        <f>VLOOKUP(B4,单科排位!$A$2:$C$55,3,FALSE)</f>
        <v>64</v>
      </c>
      <c r="I4" s="7">
        <f>VLOOKUP(B4,单科排位!$A$2:$E$55,5,FALSE)</f>
        <v>70</v>
      </c>
      <c r="J4" s="7">
        <f>VLOOKUP(B4,单科排位!$A$2:$G$55,7,FALSE)</f>
        <v>106</v>
      </c>
      <c r="K4" s="7">
        <f>VLOOKUP(B4,单科排位!$A$2:$I$55,9,FALSE)</f>
        <v>63</v>
      </c>
      <c r="L4" s="7">
        <f>VLOOKUP(B4,单科排位!$A$2:$M$55,13,FALSE)</f>
        <v>41</v>
      </c>
      <c r="M4" s="7">
        <f>VLOOKUP(B4,单科排位!$A$2:$Q$55,17,FALSE)</f>
        <v>16</v>
      </c>
      <c r="N4" s="7">
        <v>-23</v>
      </c>
      <c r="O4" s="7">
        <v>-15</v>
      </c>
      <c r="P4" s="11"/>
      <c r="Q4" s="11"/>
      <c r="R4" s="11"/>
      <c r="S4" s="11"/>
      <c r="T4" s="11"/>
      <c r="U4" s="11"/>
      <c r="V4" s="11"/>
      <c r="W4" s="11"/>
    </row>
    <row r="5" spans="1:23">
      <c r="A5" s="5"/>
      <c r="B5" s="8" t="s">
        <v>26</v>
      </c>
      <c r="C5" s="5">
        <v>10607</v>
      </c>
      <c r="D5" s="5">
        <v>383</v>
      </c>
      <c r="E5" s="7">
        <f>VLOOKUP(B5,总分排位!$B$2:$F$55,5,FALSE)</f>
        <v>163</v>
      </c>
      <c r="F5" s="7">
        <f>VLOOKUP(B5,总分排位!$B$2:$F$55,5,FALSE)</f>
        <v>163</v>
      </c>
      <c r="G5" s="7">
        <f>VLOOKUP(B5,总分排位!$B$2:$J$55,9,FALSE)</f>
        <v>139</v>
      </c>
      <c r="H5" s="7">
        <f>VLOOKUP(B5,单科排位!$A$2:$C$55,3,FALSE)</f>
        <v>143</v>
      </c>
      <c r="I5" s="7">
        <f>VLOOKUP(B5,单科排位!$A$2:$E$55,5,FALSE)</f>
        <v>141</v>
      </c>
      <c r="J5" s="7">
        <f>VLOOKUP(B5,单科排位!$A$2:$G$55,7,FALSE)</f>
        <v>77</v>
      </c>
      <c r="K5" s="7">
        <f>VLOOKUP(B5,单科排位!$A$2:$I$55,9,FALSE)</f>
        <v>116</v>
      </c>
      <c r="L5" s="7">
        <f>VLOOKUP(B5,单科排位!$A$2:$M$55,13,FALSE)</f>
        <v>193</v>
      </c>
      <c r="M5" s="7">
        <f>VLOOKUP(B5,单科排位!$A$2:$Q$55,17,FALSE)</f>
        <v>72</v>
      </c>
      <c r="N5" s="7">
        <v>-65</v>
      </c>
      <c r="O5" s="7">
        <v>-88</v>
      </c>
      <c r="P5" s="11"/>
      <c r="Q5" s="11"/>
      <c r="R5" s="11"/>
      <c r="S5" s="11"/>
      <c r="T5" s="11"/>
      <c r="U5" s="11"/>
      <c r="V5" s="11"/>
      <c r="W5" s="11"/>
    </row>
    <row r="6" spans="1:23">
      <c r="A6" s="5"/>
      <c r="B6" s="8" t="s">
        <v>47</v>
      </c>
      <c r="C6" s="5">
        <v>10628</v>
      </c>
      <c r="D6" s="5">
        <v>449</v>
      </c>
      <c r="E6" s="7">
        <f>VLOOKUP(B6,总分排位!$B$2:$F$55,5,FALSE)</f>
        <v>67</v>
      </c>
      <c r="F6" s="7">
        <f>VLOOKUP(B6,总分排位!$B$2:$F$55,5,FALSE)</f>
        <v>67</v>
      </c>
      <c r="G6" s="7">
        <f>VLOOKUP(B6,总分排位!$B$2:$J$55,9,FALSE)</f>
        <v>59</v>
      </c>
      <c r="H6" s="7">
        <f>VLOOKUP(B6,单科排位!$A$2:$C$55,3,FALSE)</f>
        <v>164</v>
      </c>
      <c r="I6" s="7">
        <f>VLOOKUP(B6,单科排位!$A$2:$E$55,5,FALSE)</f>
        <v>56</v>
      </c>
      <c r="J6" s="7">
        <f>VLOOKUP(B6,单科排位!$A$2:$G$55,7,FALSE)</f>
        <v>22</v>
      </c>
      <c r="K6" s="7">
        <f>VLOOKUP(B6,单科排位!$A$2:$I$55,9,FALSE)</f>
        <v>160</v>
      </c>
      <c r="L6" s="7">
        <f>VLOOKUP(B6,单科排位!$A$2:$M$55,13,FALSE)</f>
        <v>76</v>
      </c>
      <c r="M6" s="7">
        <f>VLOOKUP(B6,单科排位!$A$2:$Q$55,17,FALSE)</f>
        <v>72</v>
      </c>
      <c r="N6" s="7">
        <v>-19</v>
      </c>
      <c r="O6" s="7">
        <v>-10</v>
      </c>
      <c r="P6" s="11"/>
      <c r="Q6" s="11"/>
      <c r="R6" s="11"/>
      <c r="S6" s="11"/>
      <c r="T6" s="11"/>
      <c r="U6" s="11"/>
      <c r="V6" s="11"/>
      <c r="W6" s="11"/>
    </row>
    <row r="7" spans="1:23">
      <c r="A7" s="5"/>
      <c r="B7" s="8" t="s">
        <v>42</v>
      </c>
      <c r="C7" s="5">
        <v>10602</v>
      </c>
      <c r="D7" s="5">
        <v>442</v>
      </c>
      <c r="E7" s="7">
        <f>VLOOKUP(B7,总分排位!$B$2:$F$55,5,FALSE)</f>
        <v>81</v>
      </c>
      <c r="F7" s="7">
        <f>VLOOKUP(B7,总分排位!$B$2:$F$55,5,FALSE)</f>
        <v>81</v>
      </c>
      <c r="G7" s="7">
        <f>VLOOKUP(B7,总分排位!$B$2:$J$55,9,FALSE)</f>
        <v>92</v>
      </c>
      <c r="H7" s="7">
        <f>VLOOKUP(B7,单科排位!$A$2:$C$55,3,FALSE)</f>
        <v>127</v>
      </c>
      <c r="I7" s="7">
        <f>VLOOKUP(B7,单科排位!$A$2:$E$55,5,FALSE)</f>
        <v>173</v>
      </c>
      <c r="J7" s="7">
        <f>VLOOKUP(B7,单科排位!$A$2:$G$55,7,FALSE)</f>
        <v>21</v>
      </c>
      <c r="K7" s="7">
        <f>VLOOKUP(B7,单科排位!$A$2:$I$55,9,FALSE)</f>
        <v>71</v>
      </c>
      <c r="L7" s="7">
        <f>VLOOKUP(B7,单科排位!$A$2:$M$55,13,FALSE)</f>
        <v>128</v>
      </c>
      <c r="M7" s="7">
        <f>VLOOKUP(B7,单科排位!$A$2:$Q$55,17,FALSE)</f>
        <v>16</v>
      </c>
      <c r="N7" s="7">
        <v>-9</v>
      </c>
      <c r="O7" s="7">
        <v>26</v>
      </c>
      <c r="P7" s="11"/>
      <c r="Q7" s="11"/>
      <c r="R7" s="11"/>
      <c r="S7" s="11"/>
      <c r="T7" s="11"/>
      <c r="U7" s="11"/>
      <c r="V7" s="11"/>
      <c r="W7" s="11"/>
    </row>
    <row r="8" spans="1:23">
      <c r="A8" s="5"/>
      <c r="B8" s="8" t="s">
        <v>51</v>
      </c>
      <c r="C8" s="5">
        <v>10643</v>
      </c>
      <c r="D8" s="5">
        <v>460</v>
      </c>
      <c r="E8" s="7">
        <f>VLOOKUP(B8,总分排位!$B$2:$F$55,5,FALSE)</f>
        <v>50</v>
      </c>
      <c r="F8" s="7">
        <f>VLOOKUP(B8,总分排位!$B$2:$F$55,5,FALSE)</f>
        <v>50</v>
      </c>
      <c r="G8" s="7">
        <f>VLOOKUP(B8,总分排位!$B$2:$J$55,9,FALSE)</f>
        <v>52</v>
      </c>
      <c r="H8" s="7">
        <f>VLOOKUP(B8,单科排位!$A$2:$C$55,3,FALSE)</f>
        <v>2</v>
      </c>
      <c r="I8" s="7">
        <f>VLOOKUP(B8,单科排位!$A$2:$E$55,5,FALSE)</f>
        <v>118</v>
      </c>
      <c r="J8" s="7">
        <f>VLOOKUP(B8,单科排位!$A$2:$G$55,7,FALSE)</f>
        <v>55</v>
      </c>
      <c r="K8" s="7">
        <f>VLOOKUP(B8,单科排位!$A$2:$I$55,9,FALSE)</f>
        <v>71</v>
      </c>
      <c r="L8" s="7">
        <f>VLOOKUP(B8,单科排位!$A$2:$M$55,13,FALSE)</f>
        <v>99</v>
      </c>
      <c r="M8" s="7">
        <f>VLOOKUP(B8,单科排位!$A$2:$Q$55,17,FALSE)</f>
        <v>43</v>
      </c>
      <c r="N8" s="7">
        <v>41</v>
      </c>
      <c r="O8" s="7">
        <v>30</v>
      </c>
      <c r="P8" s="11"/>
      <c r="Q8" s="11"/>
      <c r="R8" s="11"/>
      <c r="S8" s="11"/>
      <c r="T8" s="11"/>
      <c r="U8" s="11"/>
      <c r="V8" s="11"/>
      <c r="W8" s="11"/>
    </row>
    <row r="9" spans="1:23">
      <c r="A9" s="5">
        <v>2</v>
      </c>
      <c r="B9" s="6" t="s">
        <v>64</v>
      </c>
      <c r="C9" s="5">
        <v>10618</v>
      </c>
      <c r="D9" s="5">
        <v>491</v>
      </c>
      <c r="E9" s="7">
        <f>VLOOKUP(B9,总分排位!$B$2:$F$55,5,FALSE)</f>
        <v>21</v>
      </c>
      <c r="F9" s="7">
        <f>VLOOKUP(B9,总分排位!$B$2:$F$55,5,FALSE)</f>
        <v>21</v>
      </c>
      <c r="G9" s="7">
        <f>VLOOKUP(B9,总分排位!$B$2:$J$55,9,FALSE)</f>
        <v>38</v>
      </c>
      <c r="H9" s="7">
        <f>VLOOKUP(B9,单科排位!$A$2:$C$55,3,FALSE)</f>
        <v>143</v>
      </c>
      <c r="I9" s="7">
        <f>VLOOKUP(B9,单科排位!$A$2:$E$55,5,FALSE)</f>
        <v>129</v>
      </c>
      <c r="J9" s="7">
        <f>VLOOKUP(B9,单科排位!$A$2:$G$55,7,FALSE)</f>
        <v>4</v>
      </c>
      <c r="K9" s="7">
        <f>VLOOKUP(B9,单科排位!$A$2:$I$55,9,FALSE)</f>
        <v>8</v>
      </c>
      <c r="L9" s="7">
        <f>VLOOKUP(B9,单科排位!$A$2:$M$55,13,FALSE)</f>
        <v>28</v>
      </c>
      <c r="M9" s="7">
        <f>VLOOKUP(B9,单科排位!$A$2:$Q$55,17,FALSE)</f>
        <v>8</v>
      </c>
      <c r="N9" s="7">
        <v>-50</v>
      </c>
      <c r="O9" s="7">
        <v>-2</v>
      </c>
      <c r="P9" s="11">
        <f t="shared" ref="P9:W9" si="1">AVERAGE(F9:F14)</f>
        <v>49.5</v>
      </c>
      <c r="Q9" s="11">
        <f t="shared" si="1"/>
        <v>48.3333333333333</v>
      </c>
      <c r="R9" s="11">
        <f t="shared" si="1"/>
        <v>84.6666666666667</v>
      </c>
      <c r="S9" s="11">
        <f t="shared" si="1"/>
        <v>84.3333333333333</v>
      </c>
      <c r="T9" s="11">
        <f t="shared" si="1"/>
        <v>34.1666666666667</v>
      </c>
      <c r="U9" s="11">
        <f t="shared" si="1"/>
        <v>59</v>
      </c>
      <c r="V9" s="11">
        <f t="shared" si="1"/>
        <v>95.6666666666667</v>
      </c>
      <c r="W9" s="11">
        <f t="shared" si="1"/>
        <v>29</v>
      </c>
    </row>
    <row r="10" spans="1:23">
      <c r="A10" s="5"/>
      <c r="B10" s="8" t="s">
        <v>76</v>
      </c>
      <c r="C10" s="5">
        <v>10655</v>
      </c>
      <c r="D10" s="5">
        <v>534</v>
      </c>
      <c r="E10" s="7">
        <f>VLOOKUP(B10,总分排位!$B$2:$F$55,5,FALSE)</f>
        <v>4</v>
      </c>
      <c r="F10" s="7">
        <f>VLOOKUP(B10,总分排位!$B$2:$F$55,5,FALSE)</f>
        <v>4</v>
      </c>
      <c r="G10" s="7">
        <f>VLOOKUP(B10,总分排位!$B$2:$J$55,9,FALSE)</f>
        <v>5</v>
      </c>
      <c r="H10" s="7">
        <f>VLOOKUP(B10,单科排位!$A$2:$C$55,3,FALSE)</f>
        <v>1</v>
      </c>
      <c r="I10" s="7">
        <f>VLOOKUP(B10,单科排位!$A$2:$E$55,5,FALSE)</f>
        <v>10</v>
      </c>
      <c r="J10" s="7">
        <f>VLOOKUP(B10,单科排位!$A$2:$G$55,7,FALSE)</f>
        <v>77</v>
      </c>
      <c r="K10" s="7">
        <f>VLOOKUP(B10,单科排位!$A$2:$I$55,9,FALSE)</f>
        <v>11</v>
      </c>
      <c r="L10" s="7">
        <f>VLOOKUP(B10,单科排位!$A$2:$M$55,13,FALSE)</f>
        <v>1</v>
      </c>
      <c r="M10" s="7">
        <f>VLOOKUP(B10,单科排位!$A$2:$Q$55,17,FALSE)</f>
        <v>33</v>
      </c>
      <c r="N10" s="7">
        <v>3</v>
      </c>
      <c r="O10" s="7">
        <v>9</v>
      </c>
      <c r="P10" s="11"/>
      <c r="Q10" s="11"/>
      <c r="R10" s="11"/>
      <c r="S10" s="11"/>
      <c r="T10" s="11"/>
      <c r="U10" s="11"/>
      <c r="V10" s="11"/>
      <c r="W10" s="11"/>
    </row>
    <row r="11" spans="1:23">
      <c r="A11" s="5"/>
      <c r="B11" s="8" t="s">
        <v>62</v>
      </c>
      <c r="C11" s="5">
        <v>10620</v>
      </c>
      <c r="D11" s="5">
        <v>488</v>
      </c>
      <c r="E11" s="7">
        <f>VLOOKUP(B11,总分排位!$B$2:$F$55,5,FALSE)</f>
        <v>26</v>
      </c>
      <c r="F11" s="7">
        <f>VLOOKUP(B11,总分排位!$B$2:$F$55,5,FALSE)</f>
        <v>26</v>
      </c>
      <c r="G11" s="7">
        <f>VLOOKUP(B11,总分排位!$B$2:$J$55,9,FALSE)</f>
        <v>13</v>
      </c>
      <c r="H11" s="7">
        <f>VLOOKUP(B11,单科排位!$A$2:$C$55,3,FALSE)</f>
        <v>48</v>
      </c>
      <c r="I11" s="7">
        <f>VLOOKUP(B11,单科排位!$A$2:$E$55,5,FALSE)</f>
        <v>65</v>
      </c>
      <c r="J11" s="7">
        <f>VLOOKUP(B11,单科排位!$A$2:$G$55,7,FALSE)</f>
        <v>4</v>
      </c>
      <c r="K11" s="7">
        <f>VLOOKUP(B11,单科排位!$A$2:$I$55,9,FALSE)</f>
        <v>94</v>
      </c>
      <c r="L11" s="7">
        <f>VLOOKUP(B11,单科排位!$A$2:$M$55,13,FALSE)</f>
        <v>87</v>
      </c>
      <c r="M11" s="7">
        <f>VLOOKUP(B11,单科排位!$A$2:$Q$55,17,FALSE)</f>
        <v>43</v>
      </c>
      <c r="N11" s="7">
        <v>-19</v>
      </c>
      <c r="O11" s="7">
        <v>1</v>
      </c>
      <c r="P11" s="11"/>
      <c r="Q11" s="11"/>
      <c r="R11" s="11"/>
      <c r="S11" s="11"/>
      <c r="T11" s="11"/>
      <c r="U11" s="11"/>
      <c r="V11" s="11"/>
      <c r="W11" s="11"/>
    </row>
    <row r="12" spans="1:23">
      <c r="A12" s="5"/>
      <c r="B12" s="8" t="s">
        <v>66</v>
      </c>
      <c r="C12" s="5">
        <v>10615</v>
      </c>
      <c r="D12" s="5">
        <v>492</v>
      </c>
      <c r="E12" s="7">
        <f>VLOOKUP(B12,总分排位!$B$2:$F$55,5,FALSE)</f>
        <v>19</v>
      </c>
      <c r="F12" s="7">
        <f>VLOOKUP(B12,总分排位!$B$2:$F$55,5,FALSE)</f>
        <v>19</v>
      </c>
      <c r="G12" s="7">
        <f>VLOOKUP(B12,总分排位!$B$2:$J$55,9,FALSE)</f>
        <v>13</v>
      </c>
      <c r="H12" s="7">
        <f>VLOOKUP(B12,单科排位!$A$2:$C$55,3,FALSE)</f>
        <v>143</v>
      </c>
      <c r="I12" s="7">
        <f>VLOOKUP(B12,单科排位!$A$2:$E$55,5,FALSE)</f>
        <v>58</v>
      </c>
      <c r="J12" s="7">
        <f>VLOOKUP(B12,单科排位!$A$2:$G$55,7,FALSE)</f>
        <v>2</v>
      </c>
      <c r="K12" s="7">
        <f>VLOOKUP(B12,单科排位!$A$2:$I$55,9,FALSE)</f>
        <v>18</v>
      </c>
      <c r="L12" s="7">
        <f>VLOOKUP(B12,单科排位!$A$2:$M$55,13,FALSE)</f>
        <v>168</v>
      </c>
      <c r="M12" s="7">
        <f>VLOOKUP(B12,单科排位!$A$2:$Q$55,17,FALSE)</f>
        <v>2</v>
      </c>
      <c r="N12" s="7">
        <v>-6</v>
      </c>
      <c r="O12" s="7">
        <v>-5</v>
      </c>
      <c r="P12" s="11"/>
      <c r="Q12" s="11"/>
      <c r="R12" s="11"/>
      <c r="S12" s="11"/>
      <c r="T12" s="11"/>
      <c r="U12" s="11"/>
      <c r="V12" s="11"/>
      <c r="W12" s="11"/>
    </row>
    <row r="13" spans="1:23">
      <c r="A13" s="5"/>
      <c r="B13" s="8" t="s">
        <v>31</v>
      </c>
      <c r="C13" s="5">
        <v>10626</v>
      </c>
      <c r="D13" s="5">
        <v>418</v>
      </c>
      <c r="E13" s="7">
        <f>VLOOKUP(B13,总分排位!$B$2:$F$55,5,FALSE)</f>
        <v>122</v>
      </c>
      <c r="F13" s="7">
        <f>VLOOKUP(B13,总分排位!$B$2:$F$55,5,FALSE)</f>
        <v>122</v>
      </c>
      <c r="G13" s="7">
        <f>VLOOKUP(B13,总分排位!$B$2:$J$55,9,FALSE)</f>
        <v>100</v>
      </c>
      <c r="H13" s="7">
        <f>VLOOKUP(B13,单科排位!$A$2:$C$55,3,FALSE)</f>
        <v>64</v>
      </c>
      <c r="I13" s="7">
        <f>VLOOKUP(B13,单科排位!$A$2:$E$55,5,FALSE)</f>
        <v>156</v>
      </c>
      <c r="J13" s="7">
        <f>VLOOKUP(B13,单科排位!$A$2:$G$55,7,FALSE)</f>
        <v>11</v>
      </c>
      <c r="K13" s="7">
        <f>VLOOKUP(B13,单科排位!$A$2:$I$55,9,FALSE)</f>
        <v>116</v>
      </c>
      <c r="L13" s="7">
        <f>VLOOKUP(B13,单科排位!$A$2:$M$55,13,FALSE)</f>
        <v>113</v>
      </c>
      <c r="M13" s="7">
        <f>VLOOKUP(B13,单科排位!$A$2:$Q$55,17,FALSE)</f>
        <v>87</v>
      </c>
      <c r="N13" s="7">
        <v>-2</v>
      </c>
      <c r="O13" s="7">
        <v>-61</v>
      </c>
      <c r="P13" s="11"/>
      <c r="Q13" s="11"/>
      <c r="R13" s="11"/>
      <c r="S13" s="11"/>
      <c r="T13" s="11"/>
      <c r="U13" s="11"/>
      <c r="V13" s="11"/>
      <c r="W13" s="11"/>
    </row>
    <row r="14" spans="1:23">
      <c r="A14" s="5"/>
      <c r="B14" s="8" t="s">
        <v>32</v>
      </c>
      <c r="C14" s="5">
        <v>10633</v>
      </c>
      <c r="D14" s="5">
        <v>431</v>
      </c>
      <c r="E14" s="7">
        <f>VLOOKUP(B14,总分排位!$B$2:$F$55,5,FALSE)</f>
        <v>105</v>
      </c>
      <c r="F14" s="7">
        <f>VLOOKUP(B14,总分排位!$B$2:$F$55,5,FALSE)</f>
        <v>105</v>
      </c>
      <c r="G14" s="7">
        <f>VLOOKUP(B14,总分排位!$B$2:$J$55,9,FALSE)</f>
        <v>121</v>
      </c>
      <c r="H14" s="7">
        <f>VLOOKUP(B14,单科排位!$A$2:$C$55,3,FALSE)</f>
        <v>109</v>
      </c>
      <c r="I14" s="7">
        <f>VLOOKUP(B14,单科排位!$A$2:$E$55,5,FALSE)</f>
        <v>88</v>
      </c>
      <c r="J14" s="7">
        <f>VLOOKUP(B14,单科排位!$A$2:$G$55,7,FALSE)</f>
        <v>107</v>
      </c>
      <c r="K14" s="7">
        <f>VLOOKUP(B14,单科排位!$A$2:$I$55,9,FALSE)</f>
        <v>107</v>
      </c>
      <c r="L14" s="7">
        <f>VLOOKUP(B14,单科排位!$A$2:$M$55,13,FALSE)</f>
        <v>177</v>
      </c>
      <c r="M14" s="7">
        <f>VLOOKUP(B14,单科排位!$A$2:$Q$55,17,FALSE)</f>
        <v>1</v>
      </c>
      <c r="N14" s="7">
        <v>-33</v>
      </c>
      <c r="O14" s="7">
        <v>-5</v>
      </c>
      <c r="P14" s="11"/>
      <c r="Q14" s="11"/>
      <c r="R14" s="11"/>
      <c r="S14" s="11"/>
      <c r="T14" s="11"/>
      <c r="U14" s="11"/>
      <c r="V14" s="11"/>
      <c r="W14" s="11"/>
    </row>
    <row r="15" spans="1:23">
      <c r="A15" s="5">
        <v>3</v>
      </c>
      <c r="B15" s="6" t="s">
        <v>69</v>
      </c>
      <c r="C15" s="5">
        <v>10636</v>
      </c>
      <c r="D15" s="5">
        <v>495</v>
      </c>
      <c r="E15" s="7">
        <f>VLOOKUP(B15,总分排位!$B$2:$F$55,5,FALSE)</f>
        <v>16</v>
      </c>
      <c r="F15" s="7">
        <f>VLOOKUP(B15,总分排位!$B$2:$F$55,5,FALSE)</f>
        <v>16</v>
      </c>
      <c r="G15" s="7">
        <f>VLOOKUP(B15,总分排位!$B$2:$J$55,9,FALSE)</f>
        <v>28</v>
      </c>
      <c r="H15" s="7">
        <f>VLOOKUP(B15,单科排位!$A$2:$C$55,3,FALSE)</f>
        <v>143</v>
      </c>
      <c r="I15" s="7">
        <f>VLOOKUP(B15,单科排位!$A$2:$E$55,5,FALSE)</f>
        <v>14</v>
      </c>
      <c r="J15" s="7">
        <f>VLOOKUP(B15,单科排位!$A$2:$G$55,7,FALSE)</f>
        <v>77</v>
      </c>
      <c r="K15" s="7">
        <f>VLOOKUP(B15,单科排位!$A$2:$I$55,9,FALSE)</f>
        <v>43</v>
      </c>
      <c r="L15" s="7">
        <f>VLOOKUP(B15,单科排位!$A$2:$M$55,13,FALSE)</f>
        <v>2</v>
      </c>
      <c r="M15" s="7">
        <f>VLOOKUP(B15,单科排位!$A$2:$Q$55,17,FALSE)</f>
        <v>33</v>
      </c>
      <c r="N15" s="7">
        <v>-20</v>
      </c>
      <c r="O15" s="7">
        <v>-10</v>
      </c>
      <c r="P15" s="11">
        <f t="shared" ref="P15:W15" si="2">AVERAGE(F15:F20)</f>
        <v>52</v>
      </c>
      <c r="Q15" s="11">
        <f t="shared" si="2"/>
        <v>59.1666666666667</v>
      </c>
      <c r="R15" s="11">
        <f t="shared" si="2"/>
        <v>76.8333333333333</v>
      </c>
      <c r="S15" s="11">
        <f t="shared" si="2"/>
        <v>49.1666666666667</v>
      </c>
      <c r="T15" s="11">
        <f t="shared" si="2"/>
        <v>101.333333333333</v>
      </c>
      <c r="U15" s="11">
        <f t="shared" si="2"/>
        <v>48</v>
      </c>
      <c r="V15" s="11">
        <f t="shared" si="2"/>
        <v>62.3333333333333</v>
      </c>
      <c r="W15" s="11">
        <f t="shared" si="2"/>
        <v>44.1666666666667</v>
      </c>
    </row>
    <row r="16" spans="1:23">
      <c r="A16" s="5"/>
      <c r="B16" s="8" t="s">
        <v>48</v>
      </c>
      <c r="C16" s="5">
        <v>10656</v>
      </c>
      <c r="D16" s="5">
        <v>454</v>
      </c>
      <c r="E16" s="7">
        <f>VLOOKUP(B16,总分排位!$B$2:$F$55,5,FALSE)</f>
        <v>56</v>
      </c>
      <c r="F16" s="7">
        <f>VLOOKUP(B16,总分排位!$B$2:$F$55,5,FALSE)</f>
        <v>56</v>
      </c>
      <c r="G16" s="7">
        <f>VLOOKUP(B16,总分排位!$B$2:$J$55,9,FALSE)</f>
        <v>83</v>
      </c>
      <c r="H16" s="7">
        <f>VLOOKUP(B16,单科排位!$A$2:$C$55,3,FALSE)</f>
        <v>73</v>
      </c>
      <c r="I16" s="7">
        <f>VLOOKUP(B16,单科排位!$A$2:$E$55,5,FALSE)</f>
        <v>42</v>
      </c>
      <c r="J16" s="7">
        <f>VLOOKUP(B16,单科排位!$A$2:$G$55,7,FALSE)</f>
        <v>118</v>
      </c>
      <c r="K16" s="7">
        <f>VLOOKUP(B16,单科排位!$A$2:$I$55,9,FALSE)</f>
        <v>94</v>
      </c>
      <c r="L16" s="7">
        <f>VLOOKUP(B16,单科排位!$A$2:$M$55,13,FALSE)</f>
        <v>41</v>
      </c>
      <c r="M16" s="7">
        <f>VLOOKUP(B16,单科排位!$A$2:$Q$55,17,FALSE)</f>
        <v>33</v>
      </c>
      <c r="N16" s="7">
        <v>51</v>
      </c>
      <c r="O16" s="7">
        <v>8</v>
      </c>
      <c r="P16" s="11"/>
      <c r="Q16" s="11"/>
      <c r="R16" s="11"/>
      <c r="S16" s="11"/>
      <c r="T16" s="11"/>
      <c r="U16" s="11"/>
      <c r="V16" s="11"/>
      <c r="W16" s="11"/>
    </row>
    <row r="17" spans="1:23">
      <c r="A17" s="5"/>
      <c r="B17" s="8" t="s">
        <v>68</v>
      </c>
      <c r="C17" s="5">
        <v>10631</v>
      </c>
      <c r="D17" s="5">
        <v>493</v>
      </c>
      <c r="E17" s="7">
        <f>VLOOKUP(B17,总分排位!$B$2:$F$55,5,FALSE)</f>
        <v>18</v>
      </c>
      <c r="F17" s="7">
        <f>VLOOKUP(B17,总分排位!$B$2:$F$55,5,FALSE)</f>
        <v>18</v>
      </c>
      <c r="G17" s="7">
        <f>VLOOKUP(B17,总分排位!$B$2:$J$55,9,FALSE)</f>
        <v>16</v>
      </c>
      <c r="H17" s="7">
        <f>VLOOKUP(B17,单科排位!$A$2:$C$55,3,FALSE)</f>
        <v>48</v>
      </c>
      <c r="I17" s="7">
        <f>VLOOKUP(B17,单科排位!$A$2:$E$55,5,FALSE)</f>
        <v>16</v>
      </c>
      <c r="J17" s="7">
        <f>VLOOKUP(B17,单科排位!$A$2:$G$55,7,FALSE)</f>
        <v>87</v>
      </c>
      <c r="K17" s="7">
        <f>VLOOKUP(B17,单科排位!$A$2:$I$55,9,FALSE)</f>
        <v>18</v>
      </c>
      <c r="L17" s="7">
        <f>VLOOKUP(B17,单科排位!$A$2:$M$55,13,FALSE)</f>
        <v>28</v>
      </c>
      <c r="M17" s="7">
        <f>VLOOKUP(B17,单科排位!$A$2:$Q$55,17,FALSE)</f>
        <v>53</v>
      </c>
      <c r="N17" s="7">
        <v>51</v>
      </c>
      <c r="O17" s="7">
        <v>59</v>
      </c>
      <c r="P17" s="11"/>
      <c r="Q17" s="11"/>
      <c r="R17" s="11"/>
      <c r="S17" s="11"/>
      <c r="T17" s="11"/>
      <c r="U17" s="11"/>
      <c r="V17" s="11"/>
      <c r="W17" s="11"/>
    </row>
    <row r="18" spans="1:23">
      <c r="A18" s="5"/>
      <c r="B18" s="8" t="s">
        <v>58</v>
      </c>
      <c r="C18" s="5">
        <v>10630</v>
      </c>
      <c r="D18" s="5">
        <v>472</v>
      </c>
      <c r="E18" s="7">
        <f>VLOOKUP(B18,总分排位!$B$2:$F$55,5,FALSE)</f>
        <v>36</v>
      </c>
      <c r="F18" s="7">
        <f>VLOOKUP(B18,总分排位!$B$2:$F$55,5,FALSE)</f>
        <v>36</v>
      </c>
      <c r="G18" s="7">
        <f>VLOOKUP(B18,总分排位!$B$2:$J$55,9,FALSE)</f>
        <v>28</v>
      </c>
      <c r="H18" s="7">
        <f>VLOOKUP(B18,单科排位!$A$2:$C$55,3,FALSE)</f>
        <v>42</v>
      </c>
      <c r="I18" s="7">
        <f>VLOOKUP(B18,单科排位!$A$2:$E$55,5,FALSE)</f>
        <v>6</v>
      </c>
      <c r="J18" s="7">
        <f>VLOOKUP(B18,单科排位!$A$2:$G$55,7,FALSE)</f>
        <v>121</v>
      </c>
      <c r="K18" s="7">
        <f>VLOOKUP(B18,单科排位!$A$2:$I$55,9,FALSE)</f>
        <v>83</v>
      </c>
      <c r="L18" s="7">
        <f>VLOOKUP(B18,单科排位!$A$2:$M$55,13,FALSE)</f>
        <v>76</v>
      </c>
      <c r="M18" s="7">
        <f>VLOOKUP(B18,单科排位!$A$2:$Q$55,17,FALSE)</f>
        <v>60</v>
      </c>
      <c r="N18" s="7">
        <v>-11</v>
      </c>
      <c r="O18" s="7">
        <v>29</v>
      </c>
      <c r="P18" s="11"/>
      <c r="Q18" s="11"/>
      <c r="R18" s="11"/>
      <c r="S18" s="11"/>
      <c r="T18" s="11"/>
      <c r="U18" s="11"/>
      <c r="V18" s="11"/>
      <c r="W18" s="11"/>
    </row>
    <row r="19" spans="1:23">
      <c r="A19" s="5"/>
      <c r="B19" s="8" t="s">
        <v>49</v>
      </c>
      <c r="C19" s="5">
        <v>10611</v>
      </c>
      <c r="D19" s="5">
        <v>454</v>
      </c>
      <c r="E19" s="7">
        <f>VLOOKUP(B19,总分排位!$B$2:$F$55,5,FALSE)</f>
        <v>56</v>
      </c>
      <c r="F19" s="7">
        <f>VLOOKUP(B19,总分排位!$B$2:$F$55,5,FALSE)</f>
        <v>56</v>
      </c>
      <c r="G19" s="7">
        <f>VLOOKUP(B19,总分排位!$B$2:$J$55,9,FALSE)</f>
        <v>61</v>
      </c>
      <c r="H19" s="7">
        <f>VLOOKUP(B19,单科排位!$A$2:$C$55,3,FALSE)</f>
        <v>91</v>
      </c>
      <c r="I19" s="7">
        <f>VLOOKUP(B19,单科排位!$A$2:$E$55,5,FALSE)</f>
        <v>88</v>
      </c>
      <c r="J19" s="7">
        <f>VLOOKUP(B19,单科排位!$A$2:$G$55,7,FALSE)</f>
        <v>55</v>
      </c>
      <c r="K19" s="7">
        <f>VLOOKUP(B19,单科排位!$A$2:$I$55,9,FALSE)</f>
        <v>32</v>
      </c>
      <c r="L19" s="7">
        <f>VLOOKUP(B19,单科排位!$A$2:$M$55,13,FALSE)</f>
        <v>99</v>
      </c>
      <c r="M19" s="7">
        <f>VLOOKUP(B19,单科排位!$A$2:$Q$55,17,FALSE)</f>
        <v>43</v>
      </c>
      <c r="N19" s="7">
        <v>-77</v>
      </c>
      <c r="O19" s="7">
        <v>38</v>
      </c>
      <c r="P19" s="11"/>
      <c r="Q19" s="11"/>
      <c r="R19" s="11"/>
      <c r="S19" s="11"/>
      <c r="T19" s="11"/>
      <c r="U19" s="11"/>
      <c r="V19" s="11"/>
      <c r="W19" s="11"/>
    </row>
    <row r="20" spans="1:23">
      <c r="A20" s="5"/>
      <c r="B20" s="8" t="s">
        <v>30</v>
      </c>
      <c r="C20" s="5">
        <v>10612</v>
      </c>
      <c r="D20" s="5">
        <v>414</v>
      </c>
      <c r="E20" s="7">
        <f>VLOOKUP(B20,总分排位!$B$2:$F$55,5,FALSE)</f>
        <v>130</v>
      </c>
      <c r="F20" s="7">
        <f>VLOOKUP(B20,总分排位!$B$2:$F$55,5,FALSE)</f>
        <v>130</v>
      </c>
      <c r="G20" s="7">
        <f>VLOOKUP(B20,总分排位!$B$2:$J$55,9,FALSE)</f>
        <v>139</v>
      </c>
      <c r="H20" s="7">
        <f>VLOOKUP(B20,单科排位!$A$2:$C$55,3,FALSE)</f>
        <v>64</v>
      </c>
      <c r="I20" s="7">
        <f>VLOOKUP(B20,单科排位!$A$2:$E$55,5,FALSE)</f>
        <v>129</v>
      </c>
      <c r="J20" s="7">
        <f>VLOOKUP(B20,单科排位!$A$2:$G$55,7,FALSE)</f>
        <v>150</v>
      </c>
      <c r="K20" s="7">
        <f>VLOOKUP(B20,单科排位!$A$2:$I$55,9,FALSE)</f>
        <v>18</v>
      </c>
      <c r="L20" s="7">
        <f>VLOOKUP(B20,单科排位!$A$2:$M$55,13,FALSE)</f>
        <v>128</v>
      </c>
      <c r="M20" s="7">
        <f>VLOOKUP(B20,单科排位!$A$2:$Q$55,17,FALSE)</f>
        <v>43</v>
      </c>
      <c r="N20" s="7">
        <v>0</v>
      </c>
      <c r="O20" s="7">
        <v>0</v>
      </c>
      <c r="P20" s="11"/>
      <c r="Q20" s="11"/>
      <c r="R20" s="11"/>
      <c r="S20" s="11"/>
      <c r="T20" s="11"/>
      <c r="U20" s="11"/>
      <c r="V20" s="11"/>
      <c r="W20" s="11"/>
    </row>
    <row r="21" spans="1:23">
      <c r="A21" s="5">
        <v>4</v>
      </c>
      <c r="B21" s="6" t="s">
        <v>77</v>
      </c>
      <c r="C21" s="5">
        <v>10608</v>
      </c>
      <c r="D21" s="5">
        <v>535</v>
      </c>
      <c r="E21" s="7">
        <f>VLOOKUP(B21,总分排位!$B$2:$F$55,5,FALSE)</f>
        <v>3</v>
      </c>
      <c r="F21" s="7">
        <f>VLOOKUP(B21,总分排位!$B$2:$F$55,5,FALSE)</f>
        <v>3</v>
      </c>
      <c r="G21" s="7">
        <f>VLOOKUP(B21,总分排位!$B$2:$J$55,9,FALSE)</f>
        <v>4</v>
      </c>
      <c r="H21" s="7">
        <f>VLOOKUP(B21,单科排位!$A$2:$C$55,3,FALSE)</f>
        <v>8</v>
      </c>
      <c r="I21" s="7">
        <f>VLOOKUP(B21,单科排位!$A$2:$E$55,5,FALSE)</f>
        <v>47</v>
      </c>
      <c r="J21" s="7">
        <f>VLOOKUP(B21,单科排位!$A$2:$G$55,7,FALSE)</f>
        <v>4</v>
      </c>
      <c r="K21" s="7">
        <f>VLOOKUP(B21,单科排位!$A$2:$I$55,9,FALSE)</f>
        <v>18</v>
      </c>
      <c r="L21" s="7">
        <f>VLOOKUP(B21,单科排位!$A$2:$M$55,13,FALSE)</f>
        <v>19</v>
      </c>
      <c r="M21" s="7">
        <f>VLOOKUP(B21,单科排位!$A$2:$Q$55,17,FALSE)</f>
        <v>16</v>
      </c>
      <c r="N21" s="7">
        <v>-212</v>
      </c>
      <c r="O21" s="7">
        <v>1</v>
      </c>
      <c r="P21" s="11">
        <f>AVERAGE(F21:F26)</f>
        <v>21.6</v>
      </c>
      <c r="Q21" s="11">
        <f>AVERAGE(G2:G57)</f>
        <v>60.7222222222222</v>
      </c>
      <c r="R21" s="11">
        <f>AVERAGE(H21:H25)</f>
        <v>52</v>
      </c>
      <c r="S21" s="11">
        <f>AVERAGE(I21:I26)</f>
        <v>47.6</v>
      </c>
      <c r="T21" s="11">
        <f>AVERAGE(J21:J26)</f>
        <v>49.8</v>
      </c>
      <c r="U21" s="11">
        <f>AVERAGE(K21:K26)</f>
        <v>60</v>
      </c>
      <c r="V21" s="11">
        <f>AVERAGE(L21:L26)</f>
        <v>38.6</v>
      </c>
      <c r="W21" s="11">
        <f>AVERAGE(M21:M26)</f>
        <v>35.2</v>
      </c>
    </row>
    <row r="22" spans="1:23">
      <c r="A22" s="5"/>
      <c r="B22" s="8" t="s">
        <v>74</v>
      </c>
      <c r="C22" s="5">
        <v>10644</v>
      </c>
      <c r="D22" s="5">
        <v>511</v>
      </c>
      <c r="E22" s="7">
        <f>VLOOKUP(B22,总分排位!$B$2:$F$55,5,FALSE)</f>
        <v>7</v>
      </c>
      <c r="F22" s="7">
        <f>VLOOKUP(B22,总分排位!$B$2:$F$55,5,FALSE)</f>
        <v>7</v>
      </c>
      <c r="G22" s="7">
        <f>VLOOKUP(B22,总分排位!$B$2:$J$55,9,FALSE)</f>
        <v>7</v>
      </c>
      <c r="H22" s="7">
        <f>VLOOKUP(B22,单科排位!$A$2:$C$55,3,FALSE)</f>
        <v>10</v>
      </c>
      <c r="I22" s="7">
        <f>VLOOKUP(B22,单科排位!$A$2:$E$55,5,FALSE)</f>
        <v>5</v>
      </c>
      <c r="J22" s="7">
        <f>VLOOKUP(B22,单科排位!$A$2:$G$55,7,FALSE)</f>
        <v>49</v>
      </c>
      <c r="K22" s="7">
        <f>VLOOKUP(B22,单科排位!$A$2:$I$55,9,FALSE)</f>
        <v>139</v>
      </c>
      <c r="L22" s="7">
        <f>VLOOKUP(B22,单科排位!$A$2:$M$55,13,FALSE)</f>
        <v>52</v>
      </c>
      <c r="M22" s="7">
        <f>VLOOKUP(B22,单科排位!$A$2:$Q$55,17,FALSE)</f>
        <v>25</v>
      </c>
      <c r="N22" s="7">
        <v>4</v>
      </c>
      <c r="O22" s="7">
        <v>9</v>
      </c>
      <c r="P22" s="11"/>
      <c r="Q22" s="11"/>
      <c r="R22" s="11"/>
      <c r="S22" s="11"/>
      <c r="T22" s="11"/>
      <c r="U22" s="11"/>
      <c r="V22" s="11"/>
      <c r="W22" s="11"/>
    </row>
    <row r="23" spans="1:23">
      <c r="A23" s="5"/>
      <c r="B23" s="8" t="s">
        <v>73</v>
      </c>
      <c r="C23" s="5">
        <v>10606</v>
      </c>
      <c r="D23" s="5">
        <v>501</v>
      </c>
      <c r="E23" s="7">
        <f>VLOOKUP(B23,总分排位!$B$2:$F$55,5,FALSE)</f>
        <v>11</v>
      </c>
      <c r="F23" s="7">
        <f>VLOOKUP(B23,总分排位!$B$2:$F$55,5,FALSE)</f>
        <v>11</v>
      </c>
      <c r="G23" s="7">
        <f>VLOOKUP(B23,总分排位!$B$2:$J$55,9,FALSE)</f>
        <v>22</v>
      </c>
      <c r="H23" s="7">
        <f>VLOOKUP(B23,单科排位!$A$2:$C$55,3,FALSE)</f>
        <v>81</v>
      </c>
      <c r="I23" s="7">
        <f>VLOOKUP(B23,单科排位!$A$2:$E$55,5,FALSE)</f>
        <v>2</v>
      </c>
      <c r="J23" s="7">
        <f>VLOOKUP(B23,单科排位!$A$2:$G$55,7,FALSE)</f>
        <v>145</v>
      </c>
      <c r="K23" s="7">
        <f>VLOOKUP(B23,单科排位!$A$2:$I$55,9,FALSE)</f>
        <v>18</v>
      </c>
      <c r="L23" s="7">
        <f>VLOOKUP(B23,单科排位!$A$2:$M$55,13,FALSE)</f>
        <v>39</v>
      </c>
      <c r="M23" s="7">
        <f>VLOOKUP(B23,单科排位!$A$2:$Q$55,17,FALSE)</f>
        <v>3</v>
      </c>
      <c r="N23" s="7">
        <v>-1</v>
      </c>
      <c r="O23" s="7">
        <v>38</v>
      </c>
      <c r="P23" s="11"/>
      <c r="Q23" s="11"/>
      <c r="R23" s="11"/>
      <c r="S23" s="11"/>
      <c r="T23" s="11"/>
      <c r="U23" s="11"/>
      <c r="V23" s="11"/>
      <c r="W23" s="11"/>
    </row>
    <row r="24" spans="1:23">
      <c r="A24" s="5"/>
      <c r="B24" s="8" t="s">
        <v>56</v>
      </c>
      <c r="C24" s="5">
        <v>10640</v>
      </c>
      <c r="D24" s="5">
        <v>469</v>
      </c>
      <c r="E24" s="7">
        <f>VLOOKUP(B24,总分排位!$B$2:$F$55,5,FALSE)</f>
        <v>38</v>
      </c>
      <c r="F24" s="7">
        <f>VLOOKUP(B24,总分排位!$B$2:$F$55,5,FALSE)</f>
        <v>38</v>
      </c>
      <c r="G24" s="7">
        <f>VLOOKUP(B24,总分排位!$B$2:$J$55,9,FALSE)</f>
        <v>48</v>
      </c>
      <c r="H24" s="7">
        <f>VLOOKUP(B24,单科排位!$A$2:$C$55,3,FALSE)</f>
        <v>109</v>
      </c>
      <c r="I24" s="7">
        <f>VLOOKUP(B24,单科排位!$A$2:$E$55,5,FALSE)</f>
        <v>106</v>
      </c>
      <c r="J24" s="7">
        <f>VLOOKUP(B24,单科排位!$A$2:$G$55,7,FALSE)</f>
        <v>8</v>
      </c>
      <c r="K24" s="7">
        <f>VLOOKUP(B24,单科排位!$A$2:$I$55,9,FALSE)</f>
        <v>107</v>
      </c>
      <c r="L24" s="7">
        <f>VLOOKUP(B24,单科排位!$A$2:$M$55,13,FALSE)</f>
        <v>7</v>
      </c>
      <c r="M24" s="7">
        <f>VLOOKUP(B24,单科排位!$A$2:$Q$55,17,FALSE)</f>
        <v>72</v>
      </c>
      <c r="N24" s="7">
        <v>-75</v>
      </c>
      <c r="O24" s="7">
        <v>-5</v>
      </c>
      <c r="P24" s="11"/>
      <c r="Q24" s="11"/>
      <c r="R24" s="11"/>
      <c r="S24" s="11"/>
      <c r="T24" s="11"/>
      <c r="U24" s="11"/>
      <c r="V24" s="11"/>
      <c r="W24" s="11"/>
    </row>
    <row r="25" ht="14.25" spans="1:23">
      <c r="A25" s="5"/>
      <c r="B25" s="8" t="s">
        <v>22</v>
      </c>
      <c r="C25" s="5">
        <v>10648</v>
      </c>
      <c r="D25" s="5"/>
      <c r="E25" s="7"/>
      <c r="F25" s="7"/>
      <c r="G25" s="7"/>
      <c r="H25" s="7"/>
      <c r="I25" s="7"/>
      <c r="J25" s="7"/>
      <c r="K25" s="12"/>
      <c r="L25" s="7"/>
      <c r="M25" s="7"/>
      <c r="N25" s="7">
        <v>15</v>
      </c>
      <c r="O25" s="7"/>
      <c r="P25" s="11"/>
      <c r="Q25" s="11"/>
      <c r="R25" s="11"/>
      <c r="S25" s="11"/>
      <c r="T25" s="11"/>
      <c r="U25" s="11"/>
      <c r="V25" s="11"/>
      <c r="W25" s="11"/>
    </row>
    <row r="26" spans="1:23">
      <c r="A26" s="5"/>
      <c r="B26" s="8" t="s">
        <v>52</v>
      </c>
      <c r="C26" s="5">
        <v>10639</v>
      </c>
      <c r="D26" s="5">
        <v>461</v>
      </c>
      <c r="E26" s="7">
        <f>VLOOKUP(B26,总分排位!$B$2:$F$55,5,FALSE)</f>
        <v>49</v>
      </c>
      <c r="F26" s="7">
        <f>VLOOKUP(B26,总分排位!$B$2:$F$55,5,FALSE)</f>
        <v>49</v>
      </c>
      <c r="G26" s="7">
        <f>VLOOKUP(B26,总分排位!$B$2:$J$55,9,FALSE)</f>
        <v>45</v>
      </c>
      <c r="H26" s="7">
        <f>VLOOKUP(B26,单科排位!$A$2:$C$55,3,FALSE)</f>
        <v>87</v>
      </c>
      <c r="I26" s="7">
        <f>VLOOKUP(B26,单科排位!$A$2:$E$55,5,FALSE)</f>
        <v>78</v>
      </c>
      <c r="J26" s="7">
        <f>VLOOKUP(B26,单科排位!$A$2:$G$55,7,FALSE)</f>
        <v>43</v>
      </c>
      <c r="K26" s="7">
        <f>VLOOKUP(B26,单科排位!$A$2:$I$55,9,FALSE)</f>
        <v>18</v>
      </c>
      <c r="L26" s="7">
        <f>VLOOKUP(B26,单科排位!$A$2:$M$55,13,FALSE)</f>
        <v>76</v>
      </c>
      <c r="M26" s="7">
        <f>VLOOKUP(B26,单科排位!$A$2:$Q$55,17,FALSE)</f>
        <v>60</v>
      </c>
      <c r="N26" s="7">
        <v>-71</v>
      </c>
      <c r="O26" s="7">
        <v>2</v>
      </c>
      <c r="P26" s="11"/>
      <c r="Q26" s="11"/>
      <c r="R26" s="11"/>
      <c r="S26" s="11"/>
      <c r="T26" s="11"/>
      <c r="U26" s="11"/>
      <c r="V26" s="11"/>
      <c r="W26" s="11"/>
    </row>
    <row r="27" spans="1:23">
      <c r="A27" s="5">
        <v>5</v>
      </c>
      <c r="B27" s="6" t="s">
        <v>60</v>
      </c>
      <c r="C27" s="5">
        <v>10649</v>
      </c>
      <c r="D27" s="5">
        <v>482</v>
      </c>
      <c r="E27" s="7">
        <f>VLOOKUP(B27,总分排位!$B$2:$F$55,5,FALSE)</f>
        <v>30</v>
      </c>
      <c r="F27" s="7">
        <f>VLOOKUP(B27,总分排位!$B$2:$F$55,5,FALSE)</f>
        <v>30</v>
      </c>
      <c r="G27" s="7">
        <f>VLOOKUP(B27,总分排位!$B$2:$J$55,9,FALSE)</f>
        <v>45</v>
      </c>
      <c r="H27" s="7">
        <f>VLOOKUP(B27,单科排位!$A$2:$C$55,3,FALSE)</f>
        <v>99</v>
      </c>
      <c r="I27" s="7">
        <f>VLOOKUP(B27,单科排位!$A$2:$E$55,5,FALSE)</f>
        <v>135</v>
      </c>
      <c r="J27" s="7">
        <f>VLOOKUP(B27,单科排位!$A$2:$G$55,7,FALSE)</f>
        <v>7</v>
      </c>
      <c r="K27" s="7">
        <f>VLOOKUP(B27,单科排位!$A$2:$I$55,9,FALSE)</f>
        <v>63</v>
      </c>
      <c r="L27" s="7">
        <f>VLOOKUP(B27,单科排位!$A$2:$M$55,13,FALSE)</f>
        <v>14</v>
      </c>
      <c r="M27" s="7">
        <f>VLOOKUP(B27,单科排位!$A$2:$Q$55,17,FALSE)</f>
        <v>25</v>
      </c>
      <c r="N27" s="7">
        <v>-41</v>
      </c>
      <c r="O27" s="7">
        <v>-18</v>
      </c>
      <c r="P27" s="11">
        <f t="shared" ref="P27:W27" si="3">AVERAGE(F27:F33)</f>
        <v>71.8571428571429</v>
      </c>
      <c r="Q27" s="11">
        <f t="shared" si="3"/>
        <v>82.4285714285714</v>
      </c>
      <c r="R27" s="11">
        <f t="shared" si="3"/>
        <v>55.8571428571429</v>
      </c>
      <c r="S27" s="11">
        <f t="shared" si="3"/>
        <v>95.1428571428571</v>
      </c>
      <c r="T27" s="11">
        <f t="shared" si="3"/>
        <v>79.8571428571429</v>
      </c>
      <c r="U27" s="11">
        <f t="shared" si="3"/>
        <v>89.1428571428571</v>
      </c>
      <c r="V27" s="11">
        <f t="shared" si="3"/>
        <v>71.7142857142857</v>
      </c>
      <c r="W27" s="11">
        <f t="shared" si="3"/>
        <v>40.8571428571429</v>
      </c>
    </row>
    <row r="28" spans="1:23">
      <c r="A28" s="5"/>
      <c r="B28" s="8" t="s">
        <v>45</v>
      </c>
      <c r="C28" s="5">
        <v>10651</v>
      </c>
      <c r="D28" s="5">
        <v>449</v>
      </c>
      <c r="E28" s="7">
        <f>VLOOKUP(B28,总分排位!$B$2:$F$55,5,FALSE)</f>
        <v>67</v>
      </c>
      <c r="F28" s="7">
        <f>VLOOKUP(B28,总分排位!$B$2:$F$55,5,FALSE)</f>
        <v>67</v>
      </c>
      <c r="G28" s="7">
        <f>VLOOKUP(B28,总分排位!$B$2:$J$55,9,FALSE)</f>
        <v>48</v>
      </c>
      <c r="H28" s="7">
        <f>VLOOKUP(B28,单科排位!$A$2:$C$55,3,FALSE)</f>
        <v>19</v>
      </c>
      <c r="I28" s="7">
        <f>VLOOKUP(B28,单科排位!$A$2:$E$55,5,FALSE)</f>
        <v>99</v>
      </c>
      <c r="J28" s="7">
        <f>VLOOKUP(B28,单科排位!$A$2:$G$55,7,FALSE)</f>
        <v>25</v>
      </c>
      <c r="K28" s="7">
        <f>VLOOKUP(B28,单科排位!$A$2:$I$55,9,FALSE)</f>
        <v>139</v>
      </c>
      <c r="L28" s="7">
        <f>VLOOKUP(B28,单科排位!$A$2:$M$55,13,FALSE)</f>
        <v>156</v>
      </c>
      <c r="M28" s="7">
        <f>VLOOKUP(B28,单科排位!$A$2:$Q$55,17,FALSE)</f>
        <v>60</v>
      </c>
      <c r="N28" s="7">
        <v>-37</v>
      </c>
      <c r="O28" s="7">
        <v>-45</v>
      </c>
      <c r="P28" s="11"/>
      <c r="Q28" s="11"/>
      <c r="R28" s="11"/>
      <c r="S28" s="11"/>
      <c r="T28" s="11"/>
      <c r="U28" s="11"/>
      <c r="V28" s="11"/>
      <c r="W28" s="11"/>
    </row>
    <row r="29" spans="1:23">
      <c r="A29" s="5"/>
      <c r="B29" s="8" t="s">
        <v>40</v>
      </c>
      <c r="C29" s="5">
        <v>10635</v>
      </c>
      <c r="D29" s="5">
        <v>441</v>
      </c>
      <c r="E29" s="7">
        <f>VLOOKUP(B29,总分排位!$B$2:$F$55,5,FALSE)</f>
        <v>83</v>
      </c>
      <c r="F29" s="7">
        <f>VLOOKUP(B29,总分排位!$B$2:$F$55,5,FALSE)</f>
        <v>83</v>
      </c>
      <c r="G29" s="7">
        <f>VLOOKUP(B29,总分排位!$B$2:$J$55,9,FALSE)</f>
        <v>129</v>
      </c>
      <c r="H29" s="7">
        <f>VLOOKUP(B29,单科排位!$A$2:$C$55,3,FALSE)</f>
        <v>55</v>
      </c>
      <c r="I29" s="7">
        <f>VLOOKUP(B29,单科排位!$A$2:$E$55,5,FALSE)</f>
        <v>88</v>
      </c>
      <c r="J29" s="7">
        <f>VLOOKUP(B29,单科排位!$A$2:$G$55,7,FALSE)</f>
        <v>163</v>
      </c>
      <c r="K29" s="7">
        <f>VLOOKUP(B29,单科排位!$A$2:$I$55,9,FALSE)</f>
        <v>15</v>
      </c>
      <c r="L29" s="7">
        <f>VLOOKUP(B29,单科排位!$A$2:$M$55,13,FALSE)</f>
        <v>5</v>
      </c>
      <c r="M29" s="7">
        <f>VLOOKUP(B29,单科排位!$A$2:$Q$55,17,FALSE)</f>
        <v>43</v>
      </c>
      <c r="N29" s="7">
        <v>-15</v>
      </c>
      <c r="O29" s="7">
        <v>-28</v>
      </c>
      <c r="P29" s="11"/>
      <c r="Q29" s="11"/>
      <c r="R29" s="11"/>
      <c r="S29" s="11"/>
      <c r="T29" s="11"/>
      <c r="U29" s="11"/>
      <c r="V29" s="11"/>
      <c r="W29" s="11"/>
    </row>
    <row r="30" spans="1:23">
      <c r="A30" s="5"/>
      <c r="B30" s="8" t="s">
        <v>71</v>
      </c>
      <c r="C30" s="5">
        <v>10652</v>
      </c>
      <c r="D30" s="5">
        <v>497</v>
      </c>
      <c r="E30" s="7">
        <f>VLOOKUP(B30,总分排位!$B$2:$F$55,5,FALSE)</f>
        <v>13</v>
      </c>
      <c r="F30" s="7">
        <f>VLOOKUP(B30,总分排位!$B$2:$F$55,5,FALSE)</f>
        <v>13</v>
      </c>
      <c r="G30" s="7">
        <f>VLOOKUP(B30,总分排位!$B$2:$J$55,9,FALSE)</f>
        <v>12</v>
      </c>
      <c r="H30" s="7">
        <f>VLOOKUP(B30,单科排位!$A$2:$C$55,3,FALSE)</f>
        <v>2</v>
      </c>
      <c r="I30" s="7">
        <f>VLOOKUP(B30,单科排位!$A$2:$E$55,5,FALSE)</f>
        <v>81</v>
      </c>
      <c r="J30" s="7">
        <f>VLOOKUP(B30,单科排位!$A$2:$G$55,7,FALSE)</f>
        <v>7</v>
      </c>
      <c r="K30" s="7">
        <f>VLOOKUP(B30,单科排位!$A$2:$I$55,9,FALSE)</f>
        <v>38</v>
      </c>
      <c r="L30" s="7">
        <f>VLOOKUP(B30,单科排位!$A$2:$M$55,13,FALSE)</f>
        <v>99</v>
      </c>
      <c r="M30" s="7">
        <f>VLOOKUP(B30,单科排位!$A$2:$Q$55,17,FALSE)</f>
        <v>12</v>
      </c>
      <c r="N30" s="7">
        <v>-31</v>
      </c>
      <c r="O30" s="7">
        <v>22</v>
      </c>
      <c r="P30" s="11"/>
      <c r="Q30" s="11"/>
      <c r="R30" s="11"/>
      <c r="S30" s="11"/>
      <c r="T30" s="11"/>
      <c r="U30" s="11"/>
      <c r="V30" s="11"/>
      <c r="W30" s="11"/>
    </row>
    <row r="31" spans="1:23">
      <c r="A31" s="5"/>
      <c r="B31" s="8" t="s">
        <v>27</v>
      </c>
      <c r="C31" s="5">
        <v>10610</v>
      </c>
      <c r="D31" s="5">
        <v>393</v>
      </c>
      <c r="E31" s="7">
        <f>VLOOKUP(B31,总分排位!$B$2:$F$55,5,FALSE)</f>
        <v>153</v>
      </c>
      <c r="F31" s="7">
        <f>VLOOKUP(B31,总分排位!$B$2:$F$55,5,FALSE)</f>
        <v>153</v>
      </c>
      <c r="G31" s="7">
        <f>VLOOKUP(B31,总分排位!$B$2:$J$55,9,FALSE)</f>
        <v>178</v>
      </c>
      <c r="H31" s="7">
        <f>VLOOKUP(B31,单科排位!$A$2:$C$55,3,FALSE)</f>
        <v>171</v>
      </c>
      <c r="I31" s="7">
        <f>VLOOKUP(B31,单科排位!$A$2:$E$55,5,FALSE)</f>
        <v>88</v>
      </c>
      <c r="J31" s="7">
        <f>VLOOKUP(B31,单科排位!$A$2:$G$55,7,FALSE)</f>
        <v>153</v>
      </c>
      <c r="K31" s="7">
        <f>VLOOKUP(B31,单科排位!$A$2:$I$55,9,FALSE)</f>
        <v>183</v>
      </c>
      <c r="L31" s="7">
        <f>VLOOKUP(B31,单科排位!$A$2:$M$55,13,FALSE)</f>
        <v>68</v>
      </c>
      <c r="M31" s="7">
        <f>VLOOKUP(B31,单科排位!$A$2:$Q$55,17,FALSE)</f>
        <v>33</v>
      </c>
      <c r="N31" s="7">
        <v>-65</v>
      </c>
      <c r="O31" s="7">
        <v>-31</v>
      </c>
      <c r="P31" s="11"/>
      <c r="Q31" s="11"/>
      <c r="R31" s="11"/>
      <c r="S31" s="11"/>
      <c r="T31" s="11"/>
      <c r="U31" s="11"/>
      <c r="V31" s="11"/>
      <c r="W31" s="11"/>
    </row>
    <row r="32" spans="1:23">
      <c r="A32" s="5"/>
      <c r="B32" s="8" t="s">
        <v>39</v>
      </c>
      <c r="C32" s="5">
        <v>10614</v>
      </c>
      <c r="D32" s="5">
        <v>440</v>
      </c>
      <c r="E32" s="7">
        <f>VLOOKUP(B32,总分排位!$B$2:$F$55,5,FALSE)</f>
        <v>84</v>
      </c>
      <c r="F32" s="7">
        <f>VLOOKUP(B32,总分排位!$B$2:$F$55,5,FALSE)</f>
        <v>84</v>
      </c>
      <c r="G32" s="7">
        <f>VLOOKUP(B32,总分排位!$B$2:$J$55,9,FALSE)</f>
        <v>95</v>
      </c>
      <c r="H32" s="7">
        <f>VLOOKUP(B32,单科排位!$A$2:$C$55,3,FALSE)</f>
        <v>13</v>
      </c>
      <c r="I32" s="7">
        <f>VLOOKUP(B32,单科排位!$A$2:$E$55,5,FALSE)</f>
        <v>99</v>
      </c>
      <c r="J32" s="7">
        <f>VLOOKUP(B32,单科排位!$A$2:$G$55,7,FALSE)</f>
        <v>102</v>
      </c>
      <c r="K32" s="7">
        <f>VLOOKUP(B32,单科排位!$A$2:$I$55,9,FALSE)</f>
        <v>148</v>
      </c>
      <c r="L32" s="7">
        <f>VLOOKUP(B32,单科排位!$A$2:$M$55,13,FALSE)</f>
        <v>41</v>
      </c>
      <c r="M32" s="7">
        <f>VLOOKUP(B32,单科排位!$A$2:$Q$55,17,FALSE)</f>
        <v>53</v>
      </c>
      <c r="N32" s="7">
        <v>0</v>
      </c>
      <c r="O32" s="7">
        <v>-3</v>
      </c>
      <c r="P32" s="11"/>
      <c r="Q32" s="11"/>
      <c r="R32" s="11"/>
      <c r="S32" s="11"/>
      <c r="T32" s="11"/>
      <c r="U32" s="11"/>
      <c r="V32" s="11"/>
      <c r="W32" s="11"/>
    </row>
    <row r="33" spans="1:23">
      <c r="A33" s="5"/>
      <c r="B33" s="8" t="s">
        <v>44</v>
      </c>
      <c r="C33" s="5">
        <v>10637</v>
      </c>
      <c r="D33" s="5">
        <v>445</v>
      </c>
      <c r="E33" s="7">
        <f>VLOOKUP(B33,总分排位!$B$2:$F$55,5,FALSE)</f>
        <v>73</v>
      </c>
      <c r="F33" s="7">
        <f>VLOOKUP(B33,总分排位!$B$2:$F$55,5,FALSE)</f>
        <v>73</v>
      </c>
      <c r="G33" s="7">
        <f>VLOOKUP(B33,总分排位!$B$2:$J$55,9,FALSE)</f>
        <v>70</v>
      </c>
      <c r="H33" s="7">
        <f>VLOOKUP(B33,单科排位!$A$2:$C$55,3,FALSE)</f>
        <v>32</v>
      </c>
      <c r="I33" s="7">
        <f>VLOOKUP(B33,单科排位!$A$2:$E$55,5,FALSE)</f>
        <v>76</v>
      </c>
      <c r="J33" s="7">
        <f>VLOOKUP(B33,单科排位!$A$2:$G$55,7,FALSE)</f>
        <v>102</v>
      </c>
      <c r="K33" s="7">
        <f>VLOOKUP(B33,单科排位!$A$2:$I$55,9,FALSE)</f>
        <v>38</v>
      </c>
      <c r="L33" s="7">
        <f>VLOOKUP(B33,单科排位!$A$2:$M$55,13,FALSE)</f>
        <v>119</v>
      </c>
      <c r="M33" s="7">
        <f>VLOOKUP(B33,单科排位!$A$2:$Q$55,17,FALSE)</f>
        <v>60</v>
      </c>
      <c r="N33" s="7">
        <v>-61</v>
      </c>
      <c r="O33" s="7">
        <v>9</v>
      </c>
      <c r="P33" s="11"/>
      <c r="Q33" s="11"/>
      <c r="R33" s="11"/>
      <c r="S33" s="11"/>
      <c r="T33" s="11"/>
      <c r="U33" s="11"/>
      <c r="V33" s="11"/>
      <c r="W33" s="11"/>
    </row>
    <row r="34" spans="1:23">
      <c r="A34" s="5">
        <v>6</v>
      </c>
      <c r="B34" s="6" t="s">
        <v>67</v>
      </c>
      <c r="C34" s="5">
        <v>10625</v>
      </c>
      <c r="D34" s="5">
        <v>492</v>
      </c>
      <c r="E34" s="7">
        <f>VLOOKUP(B34,总分排位!$B$2:$F$55,5,FALSE)</f>
        <v>19</v>
      </c>
      <c r="F34" s="7">
        <f>VLOOKUP(B34,总分排位!$B$2:$F$55,5,FALSE)</f>
        <v>19</v>
      </c>
      <c r="G34" s="7">
        <f>VLOOKUP(B34,总分排位!$B$2:$J$55,9,FALSE)</f>
        <v>13</v>
      </c>
      <c r="H34" s="7">
        <f>VLOOKUP(B34,单科排位!$A$2:$C$55,3,FALSE)</f>
        <v>81</v>
      </c>
      <c r="I34" s="7">
        <f>VLOOKUP(B34,单科排位!$A$2:$E$55,5,FALSE)</f>
        <v>8</v>
      </c>
      <c r="J34" s="7">
        <f>VLOOKUP(B34,单科排位!$A$2:$G$55,7,FALSE)</f>
        <v>49</v>
      </c>
      <c r="K34" s="7">
        <f>VLOOKUP(B34,单科排位!$A$2:$I$55,9,FALSE)</f>
        <v>123</v>
      </c>
      <c r="L34" s="7">
        <f>VLOOKUP(B34,单科排位!$A$2:$M$55,13,FALSE)</f>
        <v>99</v>
      </c>
      <c r="M34" s="7">
        <f>VLOOKUP(B34,单科排位!$A$2:$Q$55,17,FALSE)</f>
        <v>25</v>
      </c>
      <c r="N34" s="7">
        <v>-15</v>
      </c>
      <c r="O34" s="7">
        <v>-1</v>
      </c>
      <c r="P34" s="11">
        <f t="shared" ref="P34:W34" si="4">AVERAGE(F34:F39)</f>
        <v>66.4</v>
      </c>
      <c r="Q34" s="11">
        <f t="shared" si="4"/>
        <v>64.4</v>
      </c>
      <c r="R34" s="11">
        <f t="shared" si="4"/>
        <v>56.8</v>
      </c>
      <c r="S34" s="11">
        <f t="shared" si="4"/>
        <v>77.6</v>
      </c>
      <c r="T34" s="11">
        <f t="shared" si="4"/>
        <v>76</v>
      </c>
      <c r="U34" s="11">
        <f t="shared" si="4"/>
        <v>95.2</v>
      </c>
      <c r="V34" s="11">
        <f t="shared" si="4"/>
        <v>100.4</v>
      </c>
      <c r="W34" s="11">
        <f t="shared" si="4"/>
        <v>28.6</v>
      </c>
    </row>
    <row r="35" spans="1:23">
      <c r="A35" s="5"/>
      <c r="B35" s="8" t="s">
        <v>25</v>
      </c>
      <c r="C35" s="5">
        <v>10617</v>
      </c>
      <c r="D35" s="5"/>
      <c r="E35" s="7"/>
      <c r="F35" s="7"/>
      <c r="G35" s="7"/>
      <c r="H35" s="7"/>
      <c r="I35" s="7"/>
      <c r="J35" s="7"/>
      <c r="K35" s="7"/>
      <c r="L35" s="7"/>
      <c r="M35" s="7"/>
      <c r="N35" s="7">
        <v>-3</v>
      </c>
      <c r="O35" s="7"/>
      <c r="P35" s="11"/>
      <c r="Q35" s="11"/>
      <c r="R35" s="11"/>
      <c r="S35" s="11"/>
      <c r="T35" s="11"/>
      <c r="U35" s="11"/>
      <c r="V35" s="11"/>
      <c r="W35" s="11"/>
    </row>
    <row r="36" spans="1:23">
      <c r="A36" s="5"/>
      <c r="B36" s="8" t="s">
        <v>36</v>
      </c>
      <c r="C36" s="5">
        <v>10654</v>
      </c>
      <c r="D36" s="5">
        <v>437</v>
      </c>
      <c r="E36" s="7">
        <f>VLOOKUP(B36,总分排位!$B$2:$F$55,5,FALSE)</f>
        <v>95</v>
      </c>
      <c r="F36" s="7">
        <f>VLOOKUP(B36,总分排位!$B$2:$F$55,5,FALSE)</f>
        <v>95</v>
      </c>
      <c r="G36" s="7">
        <f>VLOOKUP(B36,总分排位!$B$2:$J$55,9,FALSE)</f>
        <v>100</v>
      </c>
      <c r="H36" s="7">
        <f>VLOOKUP(B36,单科排位!$A$2:$C$55,3,FALSE)</f>
        <v>55</v>
      </c>
      <c r="I36" s="7">
        <f>VLOOKUP(B36,单科排位!$A$2:$E$55,5,FALSE)</f>
        <v>156</v>
      </c>
      <c r="J36" s="7">
        <f>VLOOKUP(B36,单科排位!$A$2:$G$55,7,FALSE)</f>
        <v>30</v>
      </c>
      <c r="K36" s="7">
        <f>VLOOKUP(B36,单科排位!$A$2:$I$55,9,FALSE)</f>
        <v>171</v>
      </c>
      <c r="L36" s="7">
        <f>VLOOKUP(B36,单科排位!$A$2:$M$55,13,FALSE)</f>
        <v>156</v>
      </c>
      <c r="M36" s="7">
        <f>VLOOKUP(B36,单科排位!$A$2:$Q$55,17,FALSE)</f>
        <v>3</v>
      </c>
      <c r="N36" s="7">
        <v>-18</v>
      </c>
      <c r="O36" s="7">
        <v>-37</v>
      </c>
      <c r="P36" s="11"/>
      <c r="Q36" s="11"/>
      <c r="R36" s="11"/>
      <c r="S36" s="11"/>
      <c r="T36" s="11"/>
      <c r="U36" s="11"/>
      <c r="V36" s="11"/>
      <c r="W36" s="11"/>
    </row>
    <row r="37" spans="1:23">
      <c r="A37" s="5"/>
      <c r="B37" s="8" t="s">
        <v>33</v>
      </c>
      <c r="C37" s="5">
        <v>10609</v>
      </c>
      <c r="D37" s="5">
        <v>431</v>
      </c>
      <c r="E37" s="7">
        <f>VLOOKUP(B37,总分排位!$B$2:$F$55,5,FALSE)</f>
        <v>105</v>
      </c>
      <c r="F37" s="7">
        <f>VLOOKUP(B37,总分排位!$B$2:$F$55,5,FALSE)</f>
        <v>105</v>
      </c>
      <c r="G37" s="7">
        <f>VLOOKUP(B37,总分排位!$B$2:$J$55,9,FALSE)</f>
        <v>74</v>
      </c>
      <c r="H37" s="7">
        <f>VLOOKUP(B37,单科排位!$A$2:$C$55,3,FALSE)</f>
        <v>87</v>
      </c>
      <c r="I37" s="7">
        <f>VLOOKUP(B37,单科排位!$A$2:$E$55,5,FALSE)</f>
        <v>11</v>
      </c>
      <c r="J37" s="7">
        <f>VLOOKUP(B37,单科排位!$A$2:$G$55,7,FALSE)</f>
        <v>163</v>
      </c>
      <c r="K37" s="7">
        <f>VLOOKUP(B37,单科排位!$A$2:$I$55,9,FALSE)</f>
        <v>63</v>
      </c>
      <c r="L37" s="7">
        <f>VLOOKUP(B37,单科排位!$A$2:$M$55,13,FALSE)</f>
        <v>181</v>
      </c>
      <c r="M37" s="7">
        <f>VLOOKUP(B37,单科排位!$A$2:$Q$55,17,FALSE)</f>
        <v>43</v>
      </c>
      <c r="N37" s="7">
        <v>-23</v>
      </c>
      <c r="O37" s="7">
        <v>29</v>
      </c>
      <c r="P37" s="11"/>
      <c r="Q37" s="11"/>
      <c r="R37" s="11"/>
      <c r="S37" s="11"/>
      <c r="T37" s="11"/>
      <c r="U37" s="11"/>
      <c r="V37" s="11"/>
      <c r="W37" s="11"/>
    </row>
    <row r="38" spans="1:23">
      <c r="A38" s="5"/>
      <c r="B38" s="8" t="s">
        <v>72</v>
      </c>
      <c r="C38" s="5">
        <v>10638</v>
      </c>
      <c r="D38" s="5">
        <v>497</v>
      </c>
      <c r="E38" s="7">
        <f>VLOOKUP(B38,总分排位!$B$2:$F$55,5,FALSE)</f>
        <v>13</v>
      </c>
      <c r="F38" s="7">
        <f>VLOOKUP(B38,总分排位!$B$2:$F$55,5,FALSE)</f>
        <v>13</v>
      </c>
      <c r="G38" s="7">
        <f>VLOOKUP(B38,总分排位!$B$2:$J$55,9,FALSE)</f>
        <v>28</v>
      </c>
      <c r="H38" s="7">
        <f>VLOOKUP(B38,单科排位!$A$2:$C$55,3,FALSE)</f>
        <v>42</v>
      </c>
      <c r="I38" s="7">
        <f>VLOOKUP(B38,单科排位!$A$2:$E$55,5,FALSE)</f>
        <v>38</v>
      </c>
      <c r="J38" s="7">
        <f>VLOOKUP(B38,单科排位!$A$2:$G$55,7,FALSE)</f>
        <v>69</v>
      </c>
      <c r="K38" s="7">
        <f>VLOOKUP(B38,单科排位!$A$2:$I$55,9,FALSE)</f>
        <v>48</v>
      </c>
      <c r="L38" s="7">
        <f>VLOOKUP(B38,单科排位!$A$2:$M$55,13,FALSE)</f>
        <v>14</v>
      </c>
      <c r="M38" s="7">
        <f>VLOOKUP(B38,单科排位!$A$2:$Q$55,17,FALSE)</f>
        <v>12</v>
      </c>
      <c r="N38" s="7">
        <v>9</v>
      </c>
      <c r="O38" s="7">
        <v>33</v>
      </c>
      <c r="P38" s="11"/>
      <c r="Q38" s="11"/>
      <c r="R38" s="11"/>
      <c r="S38" s="11"/>
      <c r="T38" s="11"/>
      <c r="U38" s="11"/>
      <c r="V38" s="11"/>
      <c r="W38" s="11"/>
    </row>
    <row r="39" spans="1:23">
      <c r="A39" s="5"/>
      <c r="B39" s="8" t="s">
        <v>34</v>
      </c>
      <c r="C39" s="5">
        <v>10641</v>
      </c>
      <c r="D39" s="5">
        <v>435</v>
      </c>
      <c r="E39" s="7">
        <f>VLOOKUP(B39,总分排位!$B$2:$F$55,5,FALSE)</f>
        <v>100</v>
      </c>
      <c r="F39" s="7">
        <f>VLOOKUP(B39,总分排位!$B$2:$F$55,5,FALSE)</f>
        <v>100</v>
      </c>
      <c r="G39" s="7">
        <f>VLOOKUP(B39,总分排位!$B$2:$J$55,9,FALSE)</f>
        <v>107</v>
      </c>
      <c r="H39" s="7">
        <f>VLOOKUP(B39,单科排位!$A$2:$C$55,3,FALSE)</f>
        <v>19</v>
      </c>
      <c r="I39" s="7">
        <f>VLOOKUP(B39,单科排位!$A$2:$E$55,5,FALSE)</f>
        <v>175</v>
      </c>
      <c r="J39" s="7">
        <f>VLOOKUP(B39,单科排位!$A$2:$G$55,7,FALSE)</f>
        <v>69</v>
      </c>
      <c r="K39" s="7">
        <f>VLOOKUP(B39,单科排位!$A$2:$I$55,9,FALSE)</f>
        <v>71</v>
      </c>
      <c r="L39" s="7">
        <f>VLOOKUP(B39,单科排位!$A$2:$M$55,13,FALSE)</f>
        <v>52</v>
      </c>
      <c r="M39" s="7">
        <f>VLOOKUP(B39,单科排位!$A$2:$Q$55,17,FALSE)</f>
        <v>60</v>
      </c>
      <c r="N39" s="7">
        <v>-79</v>
      </c>
      <c r="O39" s="7">
        <v>-26</v>
      </c>
      <c r="P39" s="11"/>
      <c r="Q39" s="11"/>
      <c r="R39" s="11"/>
      <c r="S39" s="11"/>
      <c r="T39" s="11"/>
      <c r="U39" s="11"/>
      <c r="V39" s="11"/>
      <c r="W39" s="11"/>
    </row>
    <row r="40" spans="1:23">
      <c r="A40" s="5">
        <v>7</v>
      </c>
      <c r="B40" s="6" t="s">
        <v>79</v>
      </c>
      <c r="C40" s="5">
        <v>10634</v>
      </c>
      <c r="D40" s="5">
        <v>556</v>
      </c>
      <c r="E40" s="7">
        <f>VLOOKUP(B40,总分排位!$B$2:$F$55,5,FALSE)</f>
        <v>1</v>
      </c>
      <c r="F40" s="7">
        <f>VLOOKUP(B40,总分排位!$B$2:$F$55,5,FALSE)</f>
        <v>1</v>
      </c>
      <c r="G40" s="7">
        <f>VLOOKUP(B40,总分排位!$B$2:$J$55,9,FALSE)</f>
        <v>1</v>
      </c>
      <c r="H40" s="7">
        <f>VLOOKUP(B40,单科排位!$A$2:$C$55,3,FALSE)</f>
        <v>19</v>
      </c>
      <c r="I40" s="7">
        <f>VLOOKUP(B40,单科排位!$A$2:$E$55,5,FALSE)</f>
        <v>1</v>
      </c>
      <c r="J40" s="7">
        <f>VLOOKUP(B40,单科排位!$A$2:$G$55,7,FALSE)</f>
        <v>34</v>
      </c>
      <c r="K40" s="7">
        <f>VLOOKUP(B40,单科排位!$A$2:$I$55,9,FALSE)</f>
        <v>4</v>
      </c>
      <c r="L40" s="7">
        <f>VLOOKUP(B40,单科排位!$A$2:$M$55,13,FALSE)</f>
        <v>12</v>
      </c>
      <c r="M40" s="7">
        <f>VLOOKUP(B40,单科排位!$A$2:$Q$55,17,FALSE)</f>
        <v>16</v>
      </c>
      <c r="N40" s="7">
        <v>-2</v>
      </c>
      <c r="O40" s="7">
        <v>1</v>
      </c>
      <c r="P40" s="11">
        <f t="shared" ref="P40:W40" si="5">AVERAGE(F40:F45)</f>
        <v>58.1666666666667</v>
      </c>
      <c r="Q40" s="11">
        <f t="shared" si="5"/>
        <v>64.1666666666667</v>
      </c>
      <c r="R40" s="11">
        <f t="shared" si="5"/>
        <v>96.8333333333333</v>
      </c>
      <c r="S40" s="11">
        <f t="shared" si="5"/>
        <v>79.8333333333333</v>
      </c>
      <c r="T40" s="11">
        <f t="shared" si="5"/>
        <v>61.1666666666667</v>
      </c>
      <c r="U40" s="11">
        <f t="shared" si="5"/>
        <v>63.5</v>
      </c>
      <c r="V40" s="11">
        <f t="shared" si="5"/>
        <v>81.1666666666667</v>
      </c>
      <c r="W40" s="11">
        <f t="shared" si="5"/>
        <v>34.8333333333333</v>
      </c>
    </row>
    <row r="41" spans="1:23">
      <c r="A41" s="5"/>
      <c r="B41" s="8" t="s">
        <v>70</v>
      </c>
      <c r="C41" s="5">
        <v>10653</v>
      </c>
      <c r="D41" s="5">
        <v>497</v>
      </c>
      <c r="E41" s="7">
        <f>VLOOKUP(B41,总分排位!$B$2:$F$55,5,FALSE)</f>
        <v>13</v>
      </c>
      <c r="F41" s="7">
        <f>VLOOKUP(B41,总分排位!$B$2:$F$55,5,FALSE)</f>
        <v>13</v>
      </c>
      <c r="G41" s="7">
        <f>VLOOKUP(B41,总分排位!$B$2:$J$55,9,FALSE)</f>
        <v>35</v>
      </c>
      <c r="H41" s="7">
        <f>VLOOKUP(B41,单科排位!$A$2:$C$55,3,FALSE)</f>
        <v>109</v>
      </c>
      <c r="I41" s="7">
        <f>VLOOKUP(B41,单科排位!$A$2:$E$55,5,FALSE)</f>
        <v>122</v>
      </c>
      <c r="J41" s="7">
        <f>VLOOKUP(B41,单科排位!$A$2:$G$55,7,FALSE)</f>
        <v>2</v>
      </c>
      <c r="K41" s="7">
        <f>VLOOKUP(B41,单科排位!$A$2:$I$55,9,FALSE)</f>
        <v>43</v>
      </c>
      <c r="L41" s="7">
        <f>VLOOKUP(B41,单科排位!$A$2:$M$55,13,FALSE)</f>
        <v>2</v>
      </c>
      <c r="M41" s="7">
        <f>VLOOKUP(B41,单科排位!$A$2:$Q$55,17,FALSE)</f>
        <v>16</v>
      </c>
      <c r="N41" s="7">
        <v>7</v>
      </c>
      <c r="O41" s="7">
        <v>2</v>
      </c>
      <c r="P41" s="11"/>
      <c r="Q41" s="11"/>
      <c r="R41" s="11"/>
      <c r="S41" s="11"/>
      <c r="T41" s="11"/>
      <c r="U41" s="11"/>
      <c r="V41" s="11"/>
      <c r="W41" s="11"/>
    </row>
    <row r="42" spans="1:23">
      <c r="A42" s="5"/>
      <c r="B42" s="8" t="s">
        <v>43</v>
      </c>
      <c r="C42" s="5">
        <v>10621</v>
      </c>
      <c r="D42" s="5">
        <v>444</v>
      </c>
      <c r="E42" s="7">
        <f>VLOOKUP(B42,总分排位!$B$2:$F$55,5,FALSE)</f>
        <v>75</v>
      </c>
      <c r="F42" s="7">
        <f>VLOOKUP(B42,总分排位!$B$2:$F$55,5,FALSE)</f>
        <v>75</v>
      </c>
      <c r="G42" s="7">
        <f>VLOOKUP(B42,总分排位!$B$2:$J$55,9,FALSE)</f>
        <v>110</v>
      </c>
      <c r="H42" s="7">
        <f>VLOOKUP(B42,单科排位!$A$2:$C$55,3,FALSE)</f>
        <v>64</v>
      </c>
      <c r="I42" s="7">
        <f>VLOOKUP(B42,单科排位!$A$2:$E$55,5,FALSE)</f>
        <v>151</v>
      </c>
      <c r="J42" s="7">
        <f>VLOOKUP(B42,单科排位!$A$2:$G$55,7,FALSE)</f>
        <v>96</v>
      </c>
      <c r="K42" s="7">
        <f>VLOOKUP(B42,单科排位!$A$2:$I$55,9,FALSE)</f>
        <v>18</v>
      </c>
      <c r="L42" s="7">
        <f>VLOOKUP(B42,单科排位!$A$2:$M$55,13,FALSE)</f>
        <v>87</v>
      </c>
      <c r="M42" s="7">
        <f>VLOOKUP(B42,单科排位!$A$2:$Q$55,17,FALSE)</f>
        <v>8</v>
      </c>
      <c r="N42" s="7">
        <v>-63</v>
      </c>
      <c r="O42" s="7">
        <v>-37</v>
      </c>
      <c r="P42" s="11"/>
      <c r="Q42" s="11"/>
      <c r="R42" s="11"/>
      <c r="S42" s="11"/>
      <c r="T42" s="11"/>
      <c r="U42" s="11"/>
      <c r="V42" s="11"/>
      <c r="W42" s="11"/>
    </row>
    <row r="43" spans="1:23">
      <c r="A43" s="5"/>
      <c r="B43" s="8" t="s">
        <v>29</v>
      </c>
      <c r="C43" s="5">
        <v>10627</v>
      </c>
      <c r="D43" s="5">
        <v>405</v>
      </c>
      <c r="E43" s="7">
        <f>VLOOKUP(B43,总分排位!$B$2:$F$55,5,FALSE)</f>
        <v>142</v>
      </c>
      <c r="F43" s="7">
        <f>VLOOKUP(B43,总分排位!$B$2:$F$55,5,FALSE)</f>
        <v>142</v>
      </c>
      <c r="G43" s="7">
        <f>VLOOKUP(B43,总分排位!$B$2:$J$55,9,FALSE)</f>
        <v>145</v>
      </c>
      <c r="H43" s="7">
        <f>VLOOKUP(B43,单科排位!$A$2:$C$55,3,FALSE)</f>
        <v>116</v>
      </c>
      <c r="I43" s="7">
        <f>VLOOKUP(B43,单科排位!$A$2:$E$55,5,FALSE)</f>
        <v>161</v>
      </c>
      <c r="J43" s="7">
        <f>VLOOKUP(B43,单科排位!$A$2:$G$55,7,FALSE)</f>
        <v>82</v>
      </c>
      <c r="K43" s="7">
        <f>VLOOKUP(B43,单科排位!$A$2:$I$55,9,FALSE)</f>
        <v>132</v>
      </c>
      <c r="L43" s="7">
        <f>VLOOKUP(B43,单科排位!$A$2:$M$55,13,FALSE)</f>
        <v>87</v>
      </c>
      <c r="M43" s="7">
        <f>VLOOKUP(B43,单科排位!$A$2:$Q$55,17,FALSE)</f>
        <v>81</v>
      </c>
      <c r="N43" s="7">
        <v>-43</v>
      </c>
      <c r="O43" s="7">
        <v>-94</v>
      </c>
      <c r="P43" s="11"/>
      <c r="Q43" s="11"/>
      <c r="R43" s="11"/>
      <c r="S43" s="11"/>
      <c r="T43" s="11"/>
      <c r="U43" s="11"/>
      <c r="V43" s="11"/>
      <c r="W43" s="11"/>
    </row>
    <row r="44" spans="1:23">
      <c r="A44" s="5"/>
      <c r="B44" s="8" t="s">
        <v>41</v>
      </c>
      <c r="C44" s="5">
        <v>10604</v>
      </c>
      <c r="D44" s="5">
        <v>442</v>
      </c>
      <c r="E44" s="7">
        <f>VLOOKUP(B44,总分排位!$B$2:$F$55,5,FALSE)</f>
        <v>81</v>
      </c>
      <c r="F44" s="7">
        <f>VLOOKUP(B44,总分排位!$B$2:$F$55,5,FALSE)</f>
        <v>81</v>
      </c>
      <c r="G44" s="7">
        <f>VLOOKUP(B44,总分排位!$B$2:$J$55,9,FALSE)</f>
        <v>55</v>
      </c>
      <c r="H44" s="7">
        <f>VLOOKUP(B44,单科排位!$A$2:$C$55,3,FALSE)</f>
        <v>164</v>
      </c>
      <c r="I44" s="7">
        <f>VLOOKUP(B44,单科排位!$A$2:$E$55,5,FALSE)</f>
        <v>14</v>
      </c>
      <c r="J44" s="7">
        <f>VLOOKUP(B44,单科排位!$A$2:$G$55,7,FALSE)</f>
        <v>66</v>
      </c>
      <c r="K44" s="7">
        <f>VLOOKUP(B44,单科排位!$A$2:$I$55,9,FALSE)</f>
        <v>173</v>
      </c>
      <c r="L44" s="7">
        <f>VLOOKUP(B44,单科排位!$A$2:$M$55,13,FALSE)</f>
        <v>152</v>
      </c>
      <c r="M44" s="7">
        <f>VLOOKUP(B44,单科排位!$A$2:$Q$55,17,FALSE)</f>
        <v>72</v>
      </c>
      <c r="N44" s="7">
        <v>23</v>
      </c>
      <c r="O44" s="7">
        <v>-18</v>
      </c>
      <c r="P44" s="11"/>
      <c r="Q44" s="11"/>
      <c r="R44" s="11"/>
      <c r="S44" s="11"/>
      <c r="T44" s="11"/>
      <c r="U44" s="11"/>
      <c r="V44" s="11"/>
      <c r="W44" s="11"/>
    </row>
    <row r="45" spans="1:23">
      <c r="A45" s="5"/>
      <c r="B45" s="8" t="s">
        <v>57</v>
      </c>
      <c r="C45" s="5">
        <v>10616</v>
      </c>
      <c r="D45" s="5">
        <v>471</v>
      </c>
      <c r="E45" s="7">
        <f>VLOOKUP(B45,总分排位!$B$2:$F$55,5,FALSE)</f>
        <v>37</v>
      </c>
      <c r="F45" s="7">
        <f>VLOOKUP(B45,总分排位!$B$2:$F$55,5,FALSE)</f>
        <v>37</v>
      </c>
      <c r="G45" s="7">
        <f>VLOOKUP(B45,总分排位!$B$2:$J$55,9,FALSE)</f>
        <v>39</v>
      </c>
      <c r="H45" s="7">
        <f>VLOOKUP(B45,单科排位!$A$2:$C$55,3,FALSE)</f>
        <v>109</v>
      </c>
      <c r="I45" s="7">
        <f>VLOOKUP(B45,单科排位!$A$2:$E$55,5,FALSE)</f>
        <v>30</v>
      </c>
      <c r="J45" s="7">
        <f>VLOOKUP(B45,单科排位!$A$2:$G$55,7,FALSE)</f>
        <v>87</v>
      </c>
      <c r="K45" s="7">
        <f>VLOOKUP(B45,单科排位!$A$2:$I$55,9,FALSE)</f>
        <v>11</v>
      </c>
      <c r="L45" s="7">
        <f>VLOOKUP(B45,单科排位!$A$2:$M$55,13,FALSE)</f>
        <v>147</v>
      </c>
      <c r="M45" s="7">
        <f>VLOOKUP(B45,单科排位!$A$2:$Q$55,17,FALSE)</f>
        <v>16</v>
      </c>
      <c r="N45" s="7">
        <v>33</v>
      </c>
      <c r="O45" s="7">
        <v>34</v>
      </c>
      <c r="P45" s="11"/>
      <c r="Q45" s="11"/>
      <c r="R45" s="11"/>
      <c r="S45" s="11"/>
      <c r="T45" s="11"/>
      <c r="U45" s="11"/>
      <c r="V45" s="11"/>
      <c r="W45" s="11"/>
    </row>
    <row r="46" spans="1:23">
      <c r="A46" s="5">
        <v>8</v>
      </c>
      <c r="B46" s="6" t="s">
        <v>38</v>
      </c>
      <c r="C46" s="5">
        <v>10601</v>
      </c>
      <c r="D46" s="5">
        <v>439</v>
      </c>
      <c r="E46" s="7">
        <f>VLOOKUP(B46,总分排位!$B$2:$F$55,5,FALSE)</f>
        <v>87</v>
      </c>
      <c r="F46" s="7">
        <f>VLOOKUP(B46,总分排位!$B$2:$F$55,5,FALSE)</f>
        <v>87</v>
      </c>
      <c r="G46" s="7">
        <f>VLOOKUP(B46,总分排位!$B$2:$J$55,9,FALSE)</f>
        <v>43</v>
      </c>
      <c r="H46" s="7">
        <f>VLOOKUP(B46,单科排位!$A$2:$C$55,3,FALSE)</f>
        <v>87</v>
      </c>
      <c r="I46" s="7">
        <f>VLOOKUP(B46,单科排位!$A$2:$E$55,5,FALSE)</f>
        <v>78</v>
      </c>
      <c r="J46" s="7">
        <f>VLOOKUP(B46,单科排位!$A$2:$G$55,7,FALSE)</f>
        <v>11</v>
      </c>
      <c r="K46" s="7">
        <f>VLOOKUP(B46,单科排位!$A$2:$I$55,9,FALSE)</f>
        <v>148</v>
      </c>
      <c r="L46" s="7">
        <f>VLOOKUP(B46,单科排位!$A$2:$M$55,13,FALSE)</f>
        <v>128</v>
      </c>
      <c r="M46" s="7">
        <f>VLOOKUP(B46,单科排位!$A$2:$Q$55,17,FALSE)</f>
        <v>97</v>
      </c>
      <c r="N46" s="7">
        <v>10</v>
      </c>
      <c r="O46" s="7">
        <v>-35</v>
      </c>
      <c r="P46" s="11">
        <f t="shared" ref="P46:W46" si="6">AVERAGE(F46:F51)</f>
        <v>56</v>
      </c>
      <c r="Q46" s="11">
        <f t="shared" si="6"/>
        <v>45.5</v>
      </c>
      <c r="R46" s="11">
        <f t="shared" si="6"/>
        <v>70.5</v>
      </c>
      <c r="S46" s="11">
        <f t="shared" si="6"/>
        <v>80</v>
      </c>
      <c r="T46" s="11">
        <f t="shared" si="6"/>
        <v>22.8333333333333</v>
      </c>
      <c r="U46" s="11">
        <f t="shared" si="6"/>
        <v>96.3333333333333</v>
      </c>
      <c r="V46" s="11">
        <f t="shared" si="6"/>
        <v>55</v>
      </c>
      <c r="W46" s="11">
        <f t="shared" si="6"/>
        <v>60.5</v>
      </c>
    </row>
    <row r="47" spans="1:23">
      <c r="A47" s="5"/>
      <c r="B47" s="8" t="s">
        <v>75</v>
      </c>
      <c r="C47" s="5">
        <v>10650</v>
      </c>
      <c r="D47" s="5">
        <v>518</v>
      </c>
      <c r="E47" s="7">
        <f>VLOOKUP(B47,总分排位!$B$2:$F$55,5,FALSE)</f>
        <v>5</v>
      </c>
      <c r="F47" s="7">
        <f>VLOOKUP(B47,总分排位!$B$2:$F$55,5,FALSE)</f>
        <v>5</v>
      </c>
      <c r="G47" s="7">
        <f>VLOOKUP(B47,总分排位!$B$2:$J$55,9,FALSE)</f>
        <v>6</v>
      </c>
      <c r="H47" s="7">
        <f>VLOOKUP(B47,单科排位!$A$2:$C$55,3,FALSE)</f>
        <v>32</v>
      </c>
      <c r="I47" s="7">
        <f>VLOOKUP(B47,单科排位!$A$2:$E$55,5,FALSE)</f>
        <v>31</v>
      </c>
      <c r="J47" s="7">
        <f>VLOOKUP(B47,单科排位!$A$2:$G$55,7,FALSE)</f>
        <v>14</v>
      </c>
      <c r="K47" s="7">
        <f>VLOOKUP(B47,单科排位!$A$2:$I$55,9,FALSE)</f>
        <v>48</v>
      </c>
      <c r="L47" s="7">
        <f>VLOOKUP(B47,单科排位!$A$2:$M$55,13,FALSE)</f>
        <v>21</v>
      </c>
      <c r="M47" s="7">
        <f>VLOOKUP(B47,单科排位!$A$2:$Q$55,17,FALSE)</f>
        <v>25</v>
      </c>
      <c r="N47" s="7">
        <v>9</v>
      </c>
      <c r="O47" s="7">
        <v>5</v>
      </c>
      <c r="P47" s="11"/>
      <c r="Q47" s="11"/>
      <c r="R47" s="11"/>
      <c r="S47" s="11"/>
      <c r="T47" s="11"/>
      <c r="U47" s="11"/>
      <c r="V47" s="11"/>
      <c r="W47" s="11"/>
    </row>
    <row r="48" spans="1:23">
      <c r="A48" s="5"/>
      <c r="B48" s="8" t="s">
        <v>65</v>
      </c>
      <c r="C48" s="5">
        <v>10603</v>
      </c>
      <c r="D48" s="5">
        <v>491</v>
      </c>
      <c r="E48" s="7">
        <f>VLOOKUP(B48,总分排位!$B$2:$F$55,5,FALSE)</f>
        <v>21</v>
      </c>
      <c r="F48" s="7">
        <f>VLOOKUP(B48,总分排位!$B$2:$F$55,5,FALSE)</f>
        <v>21</v>
      </c>
      <c r="G48" s="7">
        <f>VLOOKUP(B48,总分排位!$B$2:$J$55,9,FALSE)</f>
        <v>25</v>
      </c>
      <c r="H48" s="7">
        <f>VLOOKUP(B48,单科排位!$A$2:$C$55,3,FALSE)</f>
        <v>17</v>
      </c>
      <c r="I48" s="7">
        <f>VLOOKUP(B48,单科排位!$A$2:$E$55,5,FALSE)</f>
        <v>76</v>
      </c>
      <c r="J48" s="7">
        <f>VLOOKUP(B48,单科排位!$A$2:$G$55,7,FALSE)</f>
        <v>34</v>
      </c>
      <c r="K48" s="7">
        <f>VLOOKUP(B48,单科排位!$A$2:$I$55,9,FALSE)</f>
        <v>18</v>
      </c>
      <c r="L48" s="7">
        <f>VLOOKUP(B48,单科排位!$A$2:$M$55,13,FALSE)</f>
        <v>63</v>
      </c>
      <c r="M48" s="7">
        <f>VLOOKUP(B48,单科排位!$A$2:$Q$55,17,FALSE)</f>
        <v>16</v>
      </c>
      <c r="N48" s="7">
        <v>4</v>
      </c>
      <c r="O48" s="7">
        <v>13</v>
      </c>
      <c r="P48" s="11"/>
      <c r="Q48" s="11"/>
      <c r="R48" s="11"/>
      <c r="S48" s="11"/>
      <c r="T48" s="11"/>
      <c r="U48" s="11"/>
      <c r="V48" s="11"/>
      <c r="W48" s="11"/>
    </row>
    <row r="49" spans="1:23">
      <c r="A49" s="5"/>
      <c r="B49" s="8" t="s">
        <v>37</v>
      </c>
      <c r="C49" s="5">
        <v>10642</v>
      </c>
      <c r="D49" s="5">
        <v>437</v>
      </c>
      <c r="E49" s="7">
        <f>VLOOKUP(B49,总分排位!$B$2:$F$55,5,FALSE)</f>
        <v>95</v>
      </c>
      <c r="F49" s="7">
        <f>VLOOKUP(B49,总分排位!$B$2:$F$55,5,FALSE)</f>
        <v>95</v>
      </c>
      <c r="G49" s="7">
        <f>VLOOKUP(B49,总分排位!$B$2:$J$55,9,FALSE)</f>
        <v>100</v>
      </c>
      <c r="H49" s="7">
        <f>VLOOKUP(B49,单科排位!$A$2:$C$55,3,FALSE)</f>
        <v>48</v>
      </c>
      <c r="I49" s="7">
        <f>VLOOKUP(B49,单科排位!$A$2:$E$55,5,FALSE)</f>
        <v>173</v>
      </c>
      <c r="J49" s="7">
        <f>VLOOKUP(B49,单科排位!$A$2:$G$55,7,FALSE)</f>
        <v>34</v>
      </c>
      <c r="K49" s="7">
        <f>VLOOKUP(B49,单科排位!$A$2:$I$55,9,FALSE)</f>
        <v>116</v>
      </c>
      <c r="L49" s="7">
        <f>VLOOKUP(B49,单科排位!$A$2:$M$55,13,FALSE)</f>
        <v>14</v>
      </c>
      <c r="M49" s="7">
        <f>VLOOKUP(B49,单科排位!$A$2:$Q$55,17,FALSE)</f>
        <v>81</v>
      </c>
      <c r="N49" s="7">
        <v>41</v>
      </c>
      <c r="O49" s="7">
        <v>20</v>
      </c>
      <c r="P49" s="11"/>
      <c r="Q49" s="11"/>
      <c r="R49" s="11"/>
      <c r="S49" s="11"/>
      <c r="T49" s="11"/>
      <c r="U49" s="11"/>
      <c r="V49" s="11"/>
      <c r="W49" s="11"/>
    </row>
    <row r="50" spans="1:23">
      <c r="A50" s="5"/>
      <c r="B50" s="8" t="s">
        <v>35</v>
      </c>
      <c r="C50" s="5">
        <v>10646</v>
      </c>
      <c r="D50" s="5">
        <v>435</v>
      </c>
      <c r="E50" s="7">
        <f>VLOOKUP(B50,总分排位!$B$2:$F$55,5,FALSE)</f>
        <v>100</v>
      </c>
      <c r="F50" s="7">
        <f>VLOOKUP(B50,总分排位!$B$2:$F$55,5,FALSE)</f>
        <v>100</v>
      </c>
      <c r="G50" s="7">
        <f>VLOOKUP(B50,总分排位!$B$2:$J$55,9,FALSE)</f>
        <v>80</v>
      </c>
      <c r="H50" s="7">
        <f>VLOOKUP(B50,单科排位!$A$2:$C$55,3,FALSE)</f>
        <v>175</v>
      </c>
      <c r="I50" s="7">
        <f>VLOOKUP(B50,单科排位!$A$2:$E$55,5,FALSE)</f>
        <v>94</v>
      </c>
      <c r="J50" s="7">
        <f>VLOOKUP(B50,单科排位!$A$2:$G$55,7,FALSE)</f>
        <v>14</v>
      </c>
      <c r="K50" s="7">
        <f>VLOOKUP(B50,单科排位!$A$2:$I$55,9,FALSE)</f>
        <v>154</v>
      </c>
      <c r="L50" s="7">
        <f>VLOOKUP(B50,单科排位!$A$2:$M$55,13,FALSE)</f>
        <v>52</v>
      </c>
      <c r="M50" s="7">
        <f>VLOOKUP(B50,单科排位!$A$2:$Q$55,17,FALSE)</f>
        <v>91</v>
      </c>
      <c r="N50" s="7">
        <v>35</v>
      </c>
      <c r="O50" s="7">
        <v>-2</v>
      </c>
      <c r="P50" s="11"/>
      <c r="Q50" s="11"/>
      <c r="R50" s="11"/>
      <c r="S50" s="11"/>
      <c r="T50" s="11"/>
      <c r="U50" s="11"/>
      <c r="V50" s="11"/>
      <c r="W50" s="11"/>
    </row>
    <row r="51" spans="1:23">
      <c r="A51" s="5"/>
      <c r="B51" s="8" t="s">
        <v>61</v>
      </c>
      <c r="C51" s="5">
        <v>10645</v>
      </c>
      <c r="D51" s="5">
        <v>486</v>
      </c>
      <c r="E51" s="7">
        <f>VLOOKUP(B51,总分排位!$B$2:$F$55,5,FALSE)</f>
        <v>28</v>
      </c>
      <c r="F51" s="7">
        <f>VLOOKUP(B51,总分排位!$B$2:$F$55,5,FALSE)</f>
        <v>28</v>
      </c>
      <c r="G51" s="7">
        <f>VLOOKUP(B51,总分排位!$B$2:$J$55,9,FALSE)</f>
        <v>19</v>
      </c>
      <c r="H51" s="7">
        <f>VLOOKUP(B51,单科排位!$A$2:$C$55,3,FALSE)</f>
        <v>64</v>
      </c>
      <c r="I51" s="7">
        <f>VLOOKUP(B51,单科排位!$A$2:$E$55,5,FALSE)</f>
        <v>28</v>
      </c>
      <c r="J51" s="7">
        <f>VLOOKUP(B51,单科排位!$A$2:$G$55,7,FALSE)</f>
        <v>30</v>
      </c>
      <c r="K51" s="7">
        <f>VLOOKUP(B51,单科排位!$A$2:$I$55,9,FALSE)</f>
        <v>94</v>
      </c>
      <c r="L51" s="7">
        <f>VLOOKUP(B51,单科排位!$A$2:$M$55,13,FALSE)</f>
        <v>52</v>
      </c>
      <c r="M51" s="7">
        <f>VLOOKUP(B51,单科排位!$A$2:$Q$55,17,FALSE)</f>
        <v>53</v>
      </c>
      <c r="N51" s="7">
        <v>24</v>
      </c>
      <c r="O51" s="7">
        <v>32</v>
      </c>
      <c r="P51" s="11"/>
      <c r="Q51" s="11"/>
      <c r="R51" s="11"/>
      <c r="S51" s="11"/>
      <c r="T51" s="11"/>
      <c r="U51" s="11"/>
      <c r="V51" s="11"/>
      <c r="W51" s="11"/>
    </row>
    <row r="52" spans="1:23">
      <c r="A52" s="5">
        <v>9</v>
      </c>
      <c r="B52" s="6" t="s">
        <v>54</v>
      </c>
      <c r="C52" s="5">
        <v>10622</v>
      </c>
      <c r="D52" s="5">
        <v>466</v>
      </c>
      <c r="E52" s="7">
        <f>VLOOKUP(B52,总分排位!$B$2:$F$55,5,FALSE)</f>
        <v>43</v>
      </c>
      <c r="F52" s="7">
        <f>VLOOKUP(B52,总分排位!$B$2:$F$55,5,FALSE)</f>
        <v>43</v>
      </c>
      <c r="G52" s="7">
        <f>VLOOKUP(B52,总分排位!$B$2:$J$55,9,FALSE)</f>
        <v>91</v>
      </c>
      <c r="H52" s="7">
        <f>VLOOKUP(B52,单科排位!$A$2:$C$55,3,FALSE)</f>
        <v>143</v>
      </c>
      <c r="I52" s="7">
        <f>VLOOKUP(B52,单科排位!$A$2:$E$55,5,FALSE)</f>
        <v>51</v>
      </c>
      <c r="J52" s="7">
        <f>VLOOKUP(B52,单科排位!$A$2:$G$55,7,FALSE)</f>
        <v>90</v>
      </c>
      <c r="K52" s="7">
        <f>VLOOKUP(B52,单科排位!$A$2:$I$55,9,FALSE)</f>
        <v>123</v>
      </c>
      <c r="L52" s="7">
        <f>VLOOKUP(B52,单科排位!$A$2:$M$55,13,FALSE)</f>
        <v>7</v>
      </c>
      <c r="M52" s="7">
        <f>VLOOKUP(B52,单科排位!$A$2:$Q$55,17,FALSE)</f>
        <v>3</v>
      </c>
      <c r="N52" s="7">
        <v>-45</v>
      </c>
      <c r="O52" s="7">
        <v>-22</v>
      </c>
      <c r="P52" s="11">
        <f t="shared" ref="P52:W52" si="7">AVERAGE(F52:F57)</f>
        <v>59.8333333333333</v>
      </c>
      <c r="Q52" s="11">
        <f t="shared" si="7"/>
        <v>80.3333333333333</v>
      </c>
      <c r="R52" s="11">
        <f t="shared" si="7"/>
        <v>73.8333333333333</v>
      </c>
      <c r="S52" s="11">
        <f t="shared" si="7"/>
        <v>109.833333333333</v>
      </c>
      <c r="T52" s="11">
        <f t="shared" si="7"/>
        <v>72.8333333333333</v>
      </c>
      <c r="U52" s="11">
        <f t="shared" si="7"/>
        <v>62.3333333333333</v>
      </c>
      <c r="V52" s="11">
        <f t="shared" si="7"/>
        <v>41.3333333333333</v>
      </c>
      <c r="W52" s="11">
        <f t="shared" si="7"/>
        <v>29</v>
      </c>
    </row>
    <row r="53" spans="1:23">
      <c r="A53" s="5"/>
      <c r="B53" s="8" t="s">
        <v>59</v>
      </c>
      <c r="C53" s="5">
        <v>10605</v>
      </c>
      <c r="D53" s="5">
        <v>479</v>
      </c>
      <c r="E53" s="7">
        <f>VLOOKUP(B53,总分排位!$B$2:$F$55,5,FALSE)</f>
        <v>32</v>
      </c>
      <c r="F53" s="7">
        <f>VLOOKUP(B53,总分排位!$B$2:$F$55,5,FALSE)</f>
        <v>32</v>
      </c>
      <c r="G53" s="7">
        <f>VLOOKUP(B53,总分排位!$B$2:$J$55,9,FALSE)</f>
        <v>39</v>
      </c>
      <c r="H53" s="7">
        <f>VLOOKUP(B53,单科排位!$A$2:$C$55,3,FALSE)</f>
        <v>48</v>
      </c>
      <c r="I53" s="7">
        <f>VLOOKUP(B53,单科排位!$A$2:$E$55,5,FALSE)</f>
        <v>141</v>
      </c>
      <c r="J53" s="7">
        <f>VLOOKUP(B53,单科排位!$A$2:$G$55,7,FALSE)</f>
        <v>14</v>
      </c>
      <c r="K53" s="7">
        <f>VLOOKUP(B53,单科排位!$A$2:$I$55,9,FALSE)</f>
        <v>18</v>
      </c>
      <c r="L53" s="7">
        <f>VLOOKUP(B53,单科排位!$A$2:$M$55,13,FALSE)</f>
        <v>41</v>
      </c>
      <c r="M53" s="7">
        <f>VLOOKUP(B53,单科排位!$A$2:$Q$55,17,FALSE)</f>
        <v>33</v>
      </c>
      <c r="N53" s="7">
        <v>-27</v>
      </c>
      <c r="O53" s="7">
        <v>-25</v>
      </c>
      <c r="P53" s="11"/>
      <c r="Q53" s="11"/>
      <c r="R53" s="11"/>
      <c r="S53" s="11"/>
      <c r="T53" s="11"/>
      <c r="U53" s="11"/>
      <c r="V53" s="11"/>
      <c r="W53" s="11"/>
    </row>
    <row r="54" spans="1:23">
      <c r="A54" s="5"/>
      <c r="B54" s="8" t="s">
        <v>46</v>
      </c>
      <c r="C54" s="5">
        <v>10632</v>
      </c>
      <c r="D54" s="5">
        <v>449</v>
      </c>
      <c r="E54" s="7">
        <f>VLOOKUP(B54,总分排位!$B$2:$F$55,5,FALSE)</f>
        <v>67</v>
      </c>
      <c r="F54" s="7">
        <f>VLOOKUP(B54,总分排位!$B$2:$F$55,5,FALSE)</f>
        <v>67</v>
      </c>
      <c r="G54" s="7">
        <f>VLOOKUP(B54,总分排位!$B$2:$J$55,9,FALSE)</f>
        <v>100</v>
      </c>
      <c r="H54" s="7">
        <f>VLOOKUP(B54,单科排位!$A$2:$C$55,3,FALSE)</f>
        <v>73</v>
      </c>
      <c r="I54" s="7">
        <f>VLOOKUP(B54,单科排位!$A$2:$E$55,5,FALSE)</f>
        <v>194</v>
      </c>
      <c r="J54" s="7">
        <f>VLOOKUP(B54,单科排位!$A$2:$G$55,7,FALSE)</f>
        <v>23</v>
      </c>
      <c r="K54" s="7">
        <f>VLOOKUP(B54,单科排位!$A$2:$I$55,9,FALSE)</f>
        <v>32</v>
      </c>
      <c r="L54" s="7">
        <f>VLOOKUP(B54,单科排位!$A$2:$M$55,13,FALSE)</f>
        <v>28</v>
      </c>
      <c r="M54" s="7">
        <f>VLOOKUP(B54,单科排位!$A$2:$Q$55,17,FALSE)</f>
        <v>25</v>
      </c>
      <c r="N54" s="7">
        <v>-79</v>
      </c>
      <c r="O54" s="7">
        <v>-27</v>
      </c>
      <c r="P54" s="11"/>
      <c r="Q54" s="11"/>
      <c r="R54" s="11"/>
      <c r="S54" s="11"/>
      <c r="T54" s="11"/>
      <c r="U54" s="11"/>
      <c r="V54" s="11"/>
      <c r="W54" s="11"/>
    </row>
    <row r="55" spans="1:23">
      <c r="A55" s="5"/>
      <c r="B55" s="8" t="s">
        <v>53</v>
      </c>
      <c r="C55" s="5">
        <v>10623</v>
      </c>
      <c r="D55" s="5">
        <v>462</v>
      </c>
      <c r="E55" s="7">
        <f>VLOOKUP(B55,总分排位!$B$2:$F$55,5,FALSE)</f>
        <v>48</v>
      </c>
      <c r="F55" s="7">
        <f>VLOOKUP(B55,总分排位!$B$2:$F$55,5,FALSE)</f>
        <v>48</v>
      </c>
      <c r="G55" s="7">
        <f>VLOOKUP(B55,总分排位!$B$2:$J$55,9,FALSE)</f>
        <v>64</v>
      </c>
      <c r="H55" s="7">
        <f>VLOOKUP(B55,单科排位!$A$2:$C$55,3,FALSE)</f>
        <v>10</v>
      </c>
      <c r="I55" s="7">
        <f>VLOOKUP(B55,单科排位!$A$2:$E$55,5,FALSE)</f>
        <v>112</v>
      </c>
      <c r="J55" s="7">
        <f>VLOOKUP(B55,单科排位!$A$2:$G$55,7,FALSE)</f>
        <v>107</v>
      </c>
      <c r="K55" s="7">
        <f>VLOOKUP(B55,单科排位!$A$2:$I$55,9,FALSE)</f>
        <v>4</v>
      </c>
      <c r="L55" s="7">
        <f>VLOOKUP(B55,单科排位!$A$2:$M$55,13,FALSE)</f>
        <v>52</v>
      </c>
      <c r="M55" s="7">
        <f>VLOOKUP(B55,单科排位!$A$2:$Q$55,17,FALSE)</f>
        <v>33</v>
      </c>
      <c r="N55" s="7">
        <v>4</v>
      </c>
      <c r="O55" s="7">
        <v>48</v>
      </c>
      <c r="P55" s="11"/>
      <c r="Q55" s="11"/>
      <c r="R55" s="11"/>
      <c r="S55" s="11"/>
      <c r="T55" s="11"/>
      <c r="U55" s="11"/>
      <c r="V55" s="11"/>
      <c r="W55" s="11"/>
    </row>
    <row r="56" spans="1:23">
      <c r="A56" s="5"/>
      <c r="B56" s="8" t="s">
        <v>28</v>
      </c>
      <c r="C56" s="5">
        <v>10629</v>
      </c>
      <c r="D56" s="5">
        <v>403</v>
      </c>
      <c r="E56" s="7">
        <f>VLOOKUP(B56,总分排位!$B$2:$F$55,5,FALSE)</f>
        <v>145</v>
      </c>
      <c r="F56" s="7">
        <f>VLOOKUP(B56,总分排位!$B$2:$F$55,5,FALSE)</f>
        <v>145</v>
      </c>
      <c r="G56" s="7">
        <f>VLOOKUP(B56,总分排位!$B$2:$J$55,9,FALSE)</f>
        <v>154</v>
      </c>
      <c r="H56" s="7">
        <f>VLOOKUP(B56,单科排位!$A$2:$C$55,3,FALSE)</f>
        <v>127</v>
      </c>
      <c r="I56" s="7">
        <f>VLOOKUP(B56,单科排位!$A$2:$E$55,5,FALSE)</f>
        <v>141</v>
      </c>
      <c r="J56" s="7">
        <f>VLOOKUP(B56,单科排位!$A$2:$G$55,7,FALSE)</f>
        <v>96</v>
      </c>
      <c r="K56" s="7">
        <f>VLOOKUP(B56,单科排位!$A$2:$I$55,9,FALSE)</f>
        <v>154</v>
      </c>
      <c r="L56" s="7">
        <f>VLOOKUP(B56,单科排位!$A$2:$M$55,13,FALSE)</f>
        <v>68</v>
      </c>
      <c r="M56" s="7">
        <f>VLOOKUP(B56,单科排位!$A$2:$Q$55,17,FALSE)</f>
        <v>72</v>
      </c>
      <c r="N56" s="7">
        <v>-61</v>
      </c>
      <c r="O56" s="7">
        <v>-46</v>
      </c>
      <c r="P56" s="11"/>
      <c r="Q56" s="11"/>
      <c r="R56" s="11"/>
      <c r="S56" s="11"/>
      <c r="T56" s="11"/>
      <c r="U56" s="11"/>
      <c r="V56" s="11"/>
      <c r="W56" s="11"/>
    </row>
    <row r="57" spans="1:23">
      <c r="A57" s="5"/>
      <c r="B57" s="8" t="s">
        <v>63</v>
      </c>
      <c r="C57" s="5">
        <v>10613</v>
      </c>
      <c r="D57" s="5">
        <v>489</v>
      </c>
      <c r="E57" s="7">
        <f>VLOOKUP(B57,总分排位!$B$2:$F$55,5,FALSE)</f>
        <v>24</v>
      </c>
      <c r="F57" s="7">
        <f>VLOOKUP(B57,总分排位!$B$2:$F$55,5,FALSE)</f>
        <v>24</v>
      </c>
      <c r="G57" s="7">
        <f>VLOOKUP(B57,总分排位!$B$2:$J$55,9,FALSE)</f>
        <v>34</v>
      </c>
      <c r="H57" s="7">
        <f>VLOOKUP(B57,单科排位!$A$2:$C$55,3,FALSE)</f>
        <v>42</v>
      </c>
      <c r="I57" s="7">
        <f>VLOOKUP(B57,单科排位!$A$2:$E$55,5,FALSE)</f>
        <v>20</v>
      </c>
      <c r="J57" s="7">
        <f>VLOOKUP(B57,单科排位!$A$2:$G$55,7,FALSE)</f>
        <v>107</v>
      </c>
      <c r="K57" s="7">
        <f>VLOOKUP(B57,单科排位!$A$2:$I$55,9,FALSE)</f>
        <v>43</v>
      </c>
      <c r="L57" s="7">
        <f>VLOOKUP(B57,单科排位!$A$2:$M$55,13,FALSE)</f>
        <v>52</v>
      </c>
      <c r="M57" s="7">
        <f>VLOOKUP(B57,单科排位!$A$2:$Q$55,17,FALSE)</f>
        <v>8</v>
      </c>
      <c r="N57" s="7">
        <v>-57</v>
      </c>
      <c r="O57" s="7">
        <v>73</v>
      </c>
      <c r="P57" s="13"/>
      <c r="Q57" s="13"/>
      <c r="R57" s="13"/>
      <c r="S57" s="13"/>
      <c r="T57" s="13"/>
      <c r="U57" s="13"/>
      <c r="V57" s="13"/>
      <c r="W57" s="13"/>
    </row>
    <row r="58" spans="1:23">
      <c r="A58" s="9"/>
      <c r="B58" s="9"/>
      <c r="C58" s="9"/>
      <c r="D58" s="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14" t="s">
        <v>114</v>
      </c>
      <c r="Q58" s="14" t="s">
        <v>115</v>
      </c>
      <c r="R58" s="14" t="s">
        <v>114</v>
      </c>
      <c r="S58" s="14" t="s">
        <v>114</v>
      </c>
      <c r="T58" s="14" t="s">
        <v>115</v>
      </c>
      <c r="U58" s="14" t="s">
        <v>116</v>
      </c>
      <c r="V58" s="14" t="s">
        <v>114</v>
      </c>
      <c r="W58" s="14" t="s">
        <v>117</v>
      </c>
    </row>
    <row r="59" spans="1:23">
      <c r="A59" s="9"/>
      <c r="B59" s="9"/>
      <c r="C59" s="9"/>
      <c r="D59" s="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14" t="s">
        <v>118</v>
      </c>
      <c r="Q59" s="14" t="s">
        <v>118</v>
      </c>
      <c r="R59" s="14" t="s">
        <v>119</v>
      </c>
      <c r="S59" s="14" t="s">
        <v>116</v>
      </c>
      <c r="T59" s="14" t="s">
        <v>118</v>
      </c>
      <c r="U59" s="14" t="s">
        <v>118</v>
      </c>
      <c r="V59" s="14" t="s">
        <v>120</v>
      </c>
      <c r="W59" s="14" t="s">
        <v>121</v>
      </c>
    </row>
    <row r="60" spans="1:23">
      <c r="A60" s="9"/>
      <c r="B60" s="9"/>
      <c r="C60" s="9"/>
      <c r="D60" s="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4" t="s">
        <v>116</v>
      </c>
      <c r="Q60" s="14" t="s">
        <v>116</v>
      </c>
      <c r="R60" s="14" t="s">
        <v>122</v>
      </c>
      <c r="S60" s="14" t="s">
        <v>122</v>
      </c>
      <c r="T60" s="14" t="s">
        <v>123</v>
      </c>
      <c r="U60" s="14" t="s">
        <v>124</v>
      </c>
      <c r="V60" s="14" t="s">
        <v>115</v>
      </c>
      <c r="W60" s="14" t="s">
        <v>125</v>
      </c>
    </row>
  </sheetData>
  <mergeCells count="81">
    <mergeCell ref="A2:A8"/>
    <mergeCell ref="A9:A14"/>
    <mergeCell ref="A15:A20"/>
    <mergeCell ref="A21:A26"/>
    <mergeCell ref="A27:A33"/>
    <mergeCell ref="A34:A39"/>
    <mergeCell ref="A40:A45"/>
    <mergeCell ref="A46:A51"/>
    <mergeCell ref="A52:A57"/>
    <mergeCell ref="P2:P8"/>
    <mergeCell ref="P9:P14"/>
    <mergeCell ref="P15:P20"/>
    <mergeCell ref="P21:P26"/>
    <mergeCell ref="P27:P33"/>
    <mergeCell ref="P34:P39"/>
    <mergeCell ref="P40:P45"/>
    <mergeCell ref="P46:P51"/>
    <mergeCell ref="P52:P57"/>
    <mergeCell ref="Q2:Q8"/>
    <mergeCell ref="Q9:Q14"/>
    <mergeCell ref="Q15:Q20"/>
    <mergeCell ref="Q21:Q26"/>
    <mergeCell ref="Q27:Q33"/>
    <mergeCell ref="Q34:Q39"/>
    <mergeCell ref="Q40:Q45"/>
    <mergeCell ref="Q46:Q51"/>
    <mergeCell ref="Q52:Q57"/>
    <mergeCell ref="R2:R8"/>
    <mergeCell ref="R9:R14"/>
    <mergeCell ref="R15:R20"/>
    <mergeCell ref="R21:R26"/>
    <mergeCell ref="R27:R33"/>
    <mergeCell ref="R34:R39"/>
    <mergeCell ref="R40:R45"/>
    <mergeCell ref="R46:R51"/>
    <mergeCell ref="R52:R57"/>
    <mergeCell ref="S2:S8"/>
    <mergeCell ref="S9:S14"/>
    <mergeCell ref="S15:S20"/>
    <mergeCell ref="S21:S26"/>
    <mergeCell ref="S27:S33"/>
    <mergeCell ref="S34:S39"/>
    <mergeCell ref="S40:S45"/>
    <mergeCell ref="S46:S51"/>
    <mergeCell ref="S52:S57"/>
    <mergeCell ref="T2:T8"/>
    <mergeCell ref="T9:T14"/>
    <mergeCell ref="T15:T20"/>
    <mergeCell ref="T21:T26"/>
    <mergeCell ref="T27:T33"/>
    <mergeCell ref="T34:T39"/>
    <mergeCell ref="T40:T45"/>
    <mergeCell ref="T46:T51"/>
    <mergeCell ref="T52:T57"/>
    <mergeCell ref="U2:U8"/>
    <mergeCell ref="U9:U14"/>
    <mergeCell ref="U15:U20"/>
    <mergeCell ref="U21:U26"/>
    <mergeCell ref="U27:U33"/>
    <mergeCell ref="U34:U39"/>
    <mergeCell ref="U40:U45"/>
    <mergeCell ref="U46:U51"/>
    <mergeCell ref="U52:U57"/>
    <mergeCell ref="V2:V8"/>
    <mergeCell ref="V9:V14"/>
    <mergeCell ref="V15:V20"/>
    <mergeCell ref="V21:V26"/>
    <mergeCell ref="V27:V33"/>
    <mergeCell ref="V34:V39"/>
    <mergeCell ref="V40:V45"/>
    <mergeCell ref="V46:V51"/>
    <mergeCell ref="V52:V57"/>
    <mergeCell ref="W2:W8"/>
    <mergeCell ref="W9:W14"/>
    <mergeCell ref="W15:W20"/>
    <mergeCell ref="W21:W26"/>
    <mergeCell ref="W27:W33"/>
    <mergeCell ref="W34:W39"/>
    <mergeCell ref="W40:W45"/>
    <mergeCell ref="W46:W51"/>
    <mergeCell ref="W52:W57"/>
  </mergeCells>
  <pageMargins left="0.156944444444444" right="0.0784722222222222" top="0.354166666666667" bottom="0.629861111111111" header="0.314583333333333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106</vt:lpstr>
      <vt:lpstr>统考成绩</vt:lpstr>
      <vt:lpstr>总分排位</vt:lpstr>
      <vt:lpstr>单科排位</vt:lpstr>
      <vt:lpstr>各小组排名分析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PL</cp:lastModifiedBy>
  <dcterms:created xsi:type="dcterms:W3CDTF">2022-04-18T06:52:00Z</dcterms:created>
  <dcterms:modified xsi:type="dcterms:W3CDTF">2025-05-22T01:14:47Z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AEC9B361C36544779094C518058260A6_13</vt:lpwstr>
  </property>
  <property fmtid="{D5CDD505-2E9C-101B-9397-08002B2CF9AE}" pid="3" name="KSOProductBuildVer">
    <vt:lpwstr>2052-12.1.0.20784</vt:lpwstr>
  </property>
  <property fmtid="{D5CDD505-2E9C-101B-9397-08002B2CF9AE}" pid="4" name="commondata">
    <vt:lpwstr>eyJoZGlkIjoiNjllODYzYzc5ZWYzMDY1NmVkOWE1YWM4YTg5MzI5NTMifQ==</vt:lpwstr>
  </property>
  <property fmtid="{D5CDD505-2E9C-101B-9397-08002B2CF9AE}" pid="5" name="KSOTemplateUUID">
    <vt:lpwstr>v1.0_mb_T4wQv8iviHxYEnwh8lg/TQ==</vt:lpwstr>
  </property>
</Properties>
</file>