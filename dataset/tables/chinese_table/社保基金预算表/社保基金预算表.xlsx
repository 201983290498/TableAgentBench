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社预01-收入预算总表" sheetId="3" r:id="rId1"/>
    <sheet name="社预03-城乡居民养老保险收入预算表" sheetId="5" r:id="rId2"/>
    <sheet name="社预04-机关事业单位养老保险收入预算表" sheetId="6" r:id="rId3"/>
    <sheet name="社预05-职工医疗保险收入预算表" sheetId="7" r:id="rId4"/>
    <sheet name="社预06-城乡居民医保收入预算表" sheetId="8" r:id="rId5"/>
  </sheets>
  <calcPr calcId="144525"/>
</workbook>
</file>

<file path=xl/sharedStrings.xml><?xml version="1.0" encoding="utf-8"?>
<sst xmlns="http://schemas.openxmlformats.org/spreadsheetml/2006/main" count="112" uniqueCount="73">
  <si>
    <t>2025年社会保险基金收入预算总表</t>
  </si>
  <si>
    <t>社预01表</t>
  </si>
  <si>
    <t>伊春市本级</t>
  </si>
  <si>
    <t>单位：元</t>
  </si>
  <si>
    <t>项        目</t>
  </si>
  <si>
    <t>合计</t>
  </si>
  <si>
    <t>城乡居民基本
养老保险基金</t>
  </si>
  <si>
    <t>机关事业单位基
本养老保险基金</t>
  </si>
  <si>
    <t>职工基本医疗保险
(含生育保险)基金</t>
  </si>
  <si>
    <t>城乡居民基本
医疗保险基金</t>
  </si>
  <si>
    <t>一、收入</t>
  </si>
  <si>
    <t xml:space="preserve">    其中:1.社会保险费收入</t>
  </si>
  <si>
    <t xml:space="preserve">         2.财政补贴收入</t>
  </si>
  <si>
    <t xml:space="preserve">         3.利息收入</t>
  </si>
  <si>
    <t xml:space="preserve">         4.委托投资收益</t>
  </si>
  <si>
    <t xml:space="preserve">         5.转移收入</t>
  </si>
  <si>
    <t xml:space="preserve">         6.其他收入</t>
  </si>
  <si>
    <t xml:space="preserve">         7.全国统筹调剂资金收入（省级专用）</t>
  </si>
  <si>
    <t xml:space="preserve">         8.全国统筹调剂资金收入（中央专用)</t>
  </si>
  <si>
    <t>2025年城乡居民基本养老保险基金收入预算表</t>
  </si>
  <si>
    <t>社预03表</t>
  </si>
  <si>
    <t>2024年执行数</t>
  </si>
  <si>
    <t>2025年预算数</t>
  </si>
  <si>
    <t>一、个人缴费收入</t>
  </si>
  <si>
    <t xml:space="preserve">    其中：居民个人缴费收入</t>
  </si>
  <si>
    <t xml:space="preserve">          被征地农民缴费补贴收入</t>
  </si>
  <si>
    <t xml:space="preserve">          退捕渔民缴费补贴收入</t>
  </si>
  <si>
    <t xml:space="preserve">          财政为缴费困难群体代缴收入</t>
  </si>
  <si>
    <t>二、财政补贴收入</t>
  </si>
  <si>
    <t xml:space="preserve">    其中：财政对基础养老金的补贴</t>
  </si>
  <si>
    <t xml:space="preserve">          财政对个人缴费的补贴</t>
  </si>
  <si>
    <t>三、集体补助收入</t>
  </si>
  <si>
    <t>四、利息收入</t>
  </si>
  <si>
    <t>五、委托投资收益</t>
  </si>
  <si>
    <t>六、转移收入</t>
  </si>
  <si>
    <t>七、其他收入</t>
  </si>
  <si>
    <t>八、本年收入小计</t>
  </si>
  <si>
    <t>九、上级补助收入</t>
  </si>
  <si>
    <t>十、下级上解收入</t>
  </si>
  <si>
    <t>十一、本年收入合计</t>
  </si>
  <si>
    <t>2025年机关事业单位基本养老保险基金收入预算表</t>
  </si>
  <si>
    <t>社预04表</t>
  </si>
  <si>
    <t>一、基本养老保险费收入</t>
  </si>
  <si>
    <t xml:space="preserve">    其中：当期征缴收入</t>
  </si>
  <si>
    <t xml:space="preserve">    其中：地方财政补贴</t>
  </si>
  <si>
    <t>三、利息收入</t>
  </si>
  <si>
    <t>四、转移收入</t>
  </si>
  <si>
    <t>五、其他收入</t>
  </si>
  <si>
    <t xml:space="preserve">    其中：滞纳金</t>
  </si>
  <si>
    <t>六、本年收入小计</t>
  </si>
  <si>
    <t>七、上级补助收入</t>
  </si>
  <si>
    <t>八、下级上解收入</t>
  </si>
  <si>
    <t>九、本年收入合计</t>
  </si>
  <si>
    <t>2025年职工基本医疗保险(含生育保险)基金收入预算表</t>
  </si>
  <si>
    <t>社预05表</t>
  </si>
  <si>
    <t>小计</t>
  </si>
  <si>
    <t>基本医疗保险统筹基金(含单建统筹）</t>
  </si>
  <si>
    <t>基本医疗保险
个人账户基金</t>
  </si>
  <si>
    <t>一、基本医疗保险费收入</t>
  </si>
  <si>
    <t xml:space="preserve">    其中：单位缴费</t>
  </si>
  <si>
    <t xml:space="preserve">          个人缴费</t>
  </si>
  <si>
    <t>×</t>
  </si>
  <si>
    <t>2025年城乡居民基本医疗保险基金收入预算表</t>
  </si>
  <si>
    <t>社预06表</t>
  </si>
  <si>
    <t xml:space="preserve">    其中：集体扶持收入</t>
  </si>
  <si>
    <t xml:space="preserve">          城乡医疗救助资助收入</t>
  </si>
  <si>
    <t xml:space="preserve">          财政为困难人员代缴收入</t>
  </si>
  <si>
    <t xml:space="preserve">    其中：对城乡居民参保的补助</t>
  </si>
  <si>
    <t>四、其他收入</t>
  </si>
  <si>
    <t>五、本年收入小计</t>
  </si>
  <si>
    <t>六、上级补助收入</t>
  </si>
  <si>
    <t>七、下级上解收入</t>
  </si>
  <si>
    <t>八、本年收入合计</t>
  </si>
</sst>
</file>

<file path=xl/styles.xml><?xml version="1.0" encoding="utf-8"?>
<styleSheet xmlns="http://schemas.openxmlformats.org/spreadsheetml/2006/main">
  <numFmts count="5">
    <numFmt numFmtId="176" formatCode="#,##0.00_ ;\-#,##0.00;;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0">
    <font>
      <sz val="11"/>
      <color theme="1"/>
      <name val="??"/>
      <charset val="134"/>
      <scheme val="minor"/>
    </font>
    <font>
      <sz val="10"/>
      <name val="宋体"/>
      <charset val="134"/>
    </font>
    <font>
      <b/>
      <sz val="29"/>
      <color indexed="8"/>
      <name val="宋体"/>
      <charset val="1"/>
    </font>
    <font>
      <b/>
      <sz val="12"/>
      <color indexed="8"/>
      <name val="宋体"/>
      <charset val="1"/>
    </font>
    <font>
      <sz val="12"/>
      <color indexed="8"/>
      <name val="宋体"/>
      <charset val="1"/>
    </font>
    <font>
      <b/>
      <sz val="17"/>
      <color indexed="8"/>
      <name val="华文中宋"/>
      <charset val="1"/>
    </font>
    <font>
      <sz val="12"/>
      <name val="宋体"/>
      <charset val="1"/>
    </font>
    <font>
      <b/>
      <sz val="10"/>
      <name val="宋体"/>
      <charset val="1"/>
    </font>
    <font>
      <sz val="10"/>
      <name val="宋体"/>
      <charset val="1"/>
    </font>
    <font>
      <sz val="10"/>
      <color indexed="8"/>
      <name val="宋体"/>
      <charset val="1"/>
    </font>
    <font>
      <sz val="11"/>
      <color theme="1"/>
      <name val="??"/>
      <charset val="134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  <font>
      <sz val="11"/>
      <color rgb="FF9C6500"/>
      <name val="??"/>
      <charset val="0"/>
      <scheme val="minor"/>
    </font>
    <font>
      <b/>
      <sz val="11"/>
      <color theme="3"/>
      <name val="??"/>
      <charset val="134"/>
      <scheme val="minor"/>
    </font>
    <font>
      <b/>
      <sz val="18"/>
      <color theme="3"/>
      <name val="??"/>
      <charset val="134"/>
      <scheme val="minor"/>
    </font>
    <font>
      <b/>
      <sz val="11"/>
      <color theme="1"/>
      <name val="??"/>
      <charset val="0"/>
      <scheme val="minor"/>
    </font>
    <font>
      <i/>
      <sz val="11"/>
      <color rgb="FF7F7F7F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3"/>
      <color theme="3"/>
      <name val="??"/>
      <charset val="134"/>
      <scheme val="minor"/>
    </font>
    <font>
      <sz val="11"/>
      <color rgb="FF006100"/>
      <name val="??"/>
      <charset val="0"/>
      <scheme val="minor"/>
    </font>
    <font>
      <b/>
      <sz val="15"/>
      <color theme="3"/>
      <name val="??"/>
      <charset val="134"/>
      <scheme val="minor"/>
    </font>
    <font>
      <u/>
      <sz val="11"/>
      <color rgb="FF800080"/>
      <name val="??"/>
      <charset val="0"/>
      <scheme val="minor"/>
    </font>
    <font>
      <b/>
      <sz val="11"/>
      <color rgb="FFFA7D00"/>
      <name val="??"/>
      <charset val="0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sz val="11"/>
      <color rgb="FFFA7D00"/>
      <name val="??"/>
      <charset val="0"/>
      <scheme val="minor"/>
    </font>
    <font>
      <u/>
      <sz val="11"/>
      <color rgb="FF0000FF"/>
      <name val="??"/>
      <charset val="0"/>
      <scheme val="minor"/>
    </font>
    <font>
      <b/>
      <sz val="11"/>
      <color rgb="FFFFFFFF"/>
      <name val="??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true"/>
      </bottom>
      <diagonal/>
    </border>
    <border>
      <left style="thin">
        <color indexed="8"/>
      </left>
      <right style="thin">
        <color indexed="8"/>
      </right>
      <top style="thin">
        <color auto="true"/>
      </top>
      <bottom style="thin">
        <color indexed="8"/>
      </bottom>
      <diagonal/>
    </border>
    <border>
      <left style="thin">
        <color auto="true"/>
      </left>
      <right style="thin">
        <color indexed="8"/>
      </right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indexed="8"/>
      </bottom>
      <diagonal/>
    </border>
    <border>
      <left style="thin">
        <color indexed="8"/>
      </left>
      <right style="thin">
        <color auto="true"/>
      </right>
      <top style="thin">
        <color indexed="8"/>
      </top>
      <bottom style="thin">
        <color auto="true"/>
      </bottom>
      <diagonal/>
    </border>
    <border>
      <left style="thin">
        <color indexed="8"/>
      </left>
      <right style="thin">
        <color auto="true"/>
      </right>
      <top style="thin">
        <color indexed="8"/>
      </top>
      <bottom style="thin">
        <color indexed="8"/>
      </bottom>
      <diagonal/>
    </border>
    <border>
      <left style="thin">
        <color auto="true"/>
      </left>
      <right style="thin">
        <color auto="true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true"/>
      </bottom>
      <diagonal/>
    </border>
    <border>
      <left style="thin">
        <color indexed="8"/>
      </left>
      <right style="thin">
        <color auto="true"/>
      </right>
      <top style="thin">
        <color auto="true"/>
      </top>
      <bottom style="thin">
        <color indexed="8"/>
      </bottom>
      <diagonal/>
    </border>
    <border>
      <left style="thin">
        <color auto="true"/>
      </left>
      <right style="thin">
        <color indexed="8"/>
      </right>
      <top style="thin">
        <color auto="true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true"/>
      </top>
      <bottom style="thin">
        <color auto="true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true"/>
      </right>
      <top/>
      <bottom style="thin">
        <color indexed="8"/>
      </bottom>
      <diagonal/>
    </border>
    <border>
      <left style="thin">
        <color auto="true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10" fillId="0" borderId="0">
      <alignment vertical="center"/>
    </xf>
    <xf numFmtId="0" fontId="12" fillId="14" borderId="0" applyNumberFormat="false" applyBorder="false" applyAlignment="false" applyProtection="false">
      <alignment vertical="center"/>
    </xf>
    <xf numFmtId="0" fontId="12" fillId="19" borderId="0" applyNumberFormat="false" applyBorder="false" applyAlignment="false" applyProtection="false">
      <alignment vertical="center"/>
    </xf>
    <xf numFmtId="0" fontId="11" fillId="16" borderId="0" applyNumberFormat="false" applyBorder="false" applyAlignment="false" applyProtection="false">
      <alignment vertical="center"/>
    </xf>
    <xf numFmtId="0" fontId="12" fillId="17" borderId="0" applyNumberFormat="false" applyBorder="false" applyAlignment="false" applyProtection="false">
      <alignment vertical="center"/>
    </xf>
    <xf numFmtId="0" fontId="12" fillId="12" borderId="0" applyNumberFormat="false" applyBorder="false" applyAlignment="false" applyProtection="false">
      <alignment vertical="center"/>
    </xf>
    <xf numFmtId="0" fontId="11" fillId="13" borderId="0" applyNumberFormat="false" applyBorder="false" applyAlignment="false" applyProtection="false">
      <alignment vertical="center"/>
    </xf>
    <xf numFmtId="0" fontId="12" fillId="28" borderId="0" applyNumberFormat="false" applyBorder="false" applyAlignment="false" applyProtection="false">
      <alignment vertical="center"/>
    </xf>
    <xf numFmtId="0" fontId="14" fillId="0" borderId="28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6" fillId="0" borderId="25" applyNumberFormat="false" applyFill="false" applyAlignment="false" applyProtection="false">
      <alignment vertical="center"/>
    </xf>
    <xf numFmtId="9" fontId="10" fillId="0" borderId="0" applyFont="false" applyFill="false" applyBorder="false" applyAlignment="false" applyProtection="false">
      <alignment vertical="center"/>
    </xf>
    <xf numFmtId="43" fontId="10" fillId="0" borderId="0" applyFont="false" applyFill="false" applyBorder="false" applyAlignment="false" applyProtection="false">
      <alignment vertical="center"/>
    </xf>
    <xf numFmtId="0" fontId="20" fillId="0" borderId="26" applyNumberFormat="false" applyFill="false" applyAlignment="false" applyProtection="false">
      <alignment vertical="center"/>
    </xf>
    <xf numFmtId="42" fontId="10" fillId="0" borderId="0" applyFont="false" applyFill="false" applyBorder="false" applyAlignment="false" applyProtection="false">
      <alignment vertical="center"/>
    </xf>
    <xf numFmtId="0" fontId="11" fillId="21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0" fillId="0" borderId="0"/>
    <xf numFmtId="0" fontId="12" fillId="24" borderId="0" applyNumberFormat="false" applyBorder="false" applyAlignment="false" applyProtection="false">
      <alignment vertical="center"/>
    </xf>
    <xf numFmtId="0" fontId="11" fillId="23" borderId="0" applyNumberFormat="false" applyBorder="false" applyAlignment="false" applyProtection="false">
      <alignment vertical="center"/>
    </xf>
    <xf numFmtId="0" fontId="22" fillId="0" borderId="26" applyNumberFormat="false" applyFill="false" applyAlignment="false" applyProtection="false">
      <alignment vertical="center"/>
    </xf>
    <xf numFmtId="0" fontId="28" fillId="0" borderId="0" applyNumberFormat="false" applyFill="false" applyBorder="false" applyAlignment="false" applyProtection="false">
      <alignment vertical="center"/>
    </xf>
    <xf numFmtId="0" fontId="12" fillId="27" borderId="0" applyNumberFormat="false" applyBorder="false" applyAlignment="false" applyProtection="false">
      <alignment vertical="center"/>
    </xf>
    <xf numFmtId="44" fontId="10" fillId="0" borderId="0" applyFont="false" applyFill="false" applyBorder="false" applyAlignment="false" applyProtection="false">
      <alignment vertical="center"/>
    </xf>
    <xf numFmtId="0" fontId="12" fillId="15" borderId="0" applyNumberFormat="false" applyBorder="false" applyAlignment="false" applyProtection="false">
      <alignment vertical="center"/>
    </xf>
    <xf numFmtId="0" fontId="24" fillId="29" borderId="27" applyNumberFormat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41" fontId="10" fillId="0" borderId="0" applyFont="false" applyFill="false" applyBorder="false" applyAlignment="false" applyProtection="false">
      <alignment vertical="center"/>
    </xf>
    <xf numFmtId="0" fontId="11" fillId="30" borderId="0" applyNumberFormat="false" applyBorder="false" applyAlignment="false" applyProtection="false">
      <alignment vertical="center"/>
    </xf>
    <xf numFmtId="0" fontId="12" fillId="31" borderId="0" applyNumberFormat="false" applyBorder="false" applyAlignment="false" applyProtection="false">
      <alignment vertical="center"/>
    </xf>
    <xf numFmtId="0" fontId="11" fillId="22" borderId="0" applyNumberFormat="false" applyBorder="false" applyAlignment="false" applyProtection="false">
      <alignment vertical="center"/>
    </xf>
    <xf numFmtId="0" fontId="25" fillId="32" borderId="27" applyNumberFormat="false" applyAlignment="false" applyProtection="false">
      <alignment vertical="center"/>
    </xf>
    <xf numFmtId="0" fontId="26" fillId="29" borderId="29" applyNumberFormat="false" applyAlignment="false" applyProtection="false">
      <alignment vertical="center"/>
    </xf>
    <xf numFmtId="0" fontId="29" fillId="33" borderId="31" applyNumberFormat="false" applyAlignment="false" applyProtection="false">
      <alignment vertical="center"/>
    </xf>
    <xf numFmtId="0" fontId="27" fillId="0" borderId="30" applyNumberFormat="false" applyFill="false" applyAlignment="false" applyProtection="false">
      <alignment vertical="center"/>
    </xf>
    <xf numFmtId="0" fontId="11" fillId="34" borderId="0" applyNumberFormat="false" applyBorder="false" applyAlignment="false" applyProtection="false">
      <alignment vertical="center"/>
    </xf>
    <xf numFmtId="0" fontId="11" fillId="11" borderId="0" applyNumberFormat="false" applyBorder="false" applyAlignment="false" applyProtection="false">
      <alignment vertical="center"/>
    </xf>
    <xf numFmtId="0" fontId="10" fillId="10" borderId="24" applyNumberFormat="false" applyFont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21" fillId="26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1" fillId="9" borderId="0" applyNumberFormat="false" applyBorder="false" applyAlignment="false" applyProtection="false">
      <alignment vertical="center"/>
    </xf>
    <xf numFmtId="0" fontId="13" fillId="8" borderId="0" applyNumberFormat="false" applyBorder="false" applyAlignment="false" applyProtection="false">
      <alignment vertical="center"/>
    </xf>
    <xf numFmtId="0" fontId="12" fillId="7" borderId="0" applyNumberFormat="false" applyBorder="false" applyAlignment="false" applyProtection="false">
      <alignment vertical="center"/>
    </xf>
    <xf numFmtId="0" fontId="18" fillId="20" borderId="0" applyNumberFormat="false" applyBorder="false" applyAlignment="false" applyProtection="false">
      <alignment vertical="center"/>
    </xf>
    <xf numFmtId="0" fontId="11" fillId="18" borderId="0" applyNumberFormat="false" applyBorder="false" applyAlignment="false" applyProtection="false">
      <alignment vertical="center"/>
    </xf>
    <xf numFmtId="0" fontId="12" fillId="6" borderId="0" applyNumberFormat="false" applyBorder="false" applyAlignment="false" applyProtection="false">
      <alignment vertical="center"/>
    </xf>
    <xf numFmtId="0" fontId="11" fillId="5" borderId="0" applyNumberFormat="false" applyBorder="false" applyAlignment="false" applyProtection="false">
      <alignment vertical="center"/>
    </xf>
    <xf numFmtId="0" fontId="12" fillId="25" borderId="0" applyNumberFormat="false" applyBorder="false" applyAlignment="false" applyProtection="false">
      <alignment vertical="center"/>
    </xf>
    <xf numFmtId="0" fontId="11" fillId="4" borderId="0" applyNumberFormat="false" applyBorder="false" applyAlignment="false" applyProtection="false">
      <alignment vertical="center"/>
    </xf>
  </cellStyleXfs>
  <cellXfs count="75">
    <xf numFmtId="0" fontId="0" fillId="0" borderId="0" xfId="17"/>
    <xf numFmtId="0" fontId="1" fillId="0" borderId="0" xfId="17" applyFont="true" applyFill="true"/>
    <xf numFmtId="49" fontId="2" fillId="2" borderId="0" xfId="17" applyNumberFormat="true" applyFont="true" applyFill="true" applyAlignment="true">
      <alignment horizontal="center" vertical="center"/>
    </xf>
    <xf numFmtId="0" fontId="2" fillId="2" borderId="0" xfId="17" applyFont="true" applyFill="true" applyAlignment="true">
      <alignment horizontal="center" vertical="center"/>
    </xf>
    <xf numFmtId="49" fontId="3" fillId="2" borderId="0" xfId="17" applyNumberFormat="true" applyFont="true" applyFill="true" applyAlignment="true">
      <alignment horizontal="center" vertical="center"/>
    </xf>
    <xf numFmtId="49" fontId="4" fillId="2" borderId="0" xfId="17" applyNumberFormat="true" applyFont="true" applyFill="true"/>
    <xf numFmtId="49" fontId="4" fillId="2" borderId="0" xfId="17" applyNumberFormat="true" applyFont="true" applyFill="true" applyAlignment="true">
      <alignment horizontal="right" vertical="center"/>
    </xf>
    <xf numFmtId="49" fontId="4" fillId="2" borderId="1" xfId="17" applyNumberFormat="true" applyFont="true" applyFill="true" applyBorder="true" applyAlignment="true">
      <alignment vertical="center"/>
    </xf>
    <xf numFmtId="49" fontId="4" fillId="2" borderId="1" xfId="17" applyNumberFormat="true" applyFont="true" applyFill="true" applyBorder="true" applyAlignment="true">
      <alignment horizontal="right" vertical="center"/>
    </xf>
    <xf numFmtId="49" fontId="3" fillId="2" borderId="2" xfId="17" applyNumberFormat="true" applyFont="true" applyFill="true" applyBorder="true" applyAlignment="true">
      <alignment horizontal="center" vertical="center"/>
    </xf>
    <xf numFmtId="49" fontId="4" fillId="2" borderId="2" xfId="17" applyNumberFormat="true" applyFont="true" applyFill="true" applyBorder="true" applyAlignment="true">
      <alignment vertical="center" shrinkToFit="true"/>
    </xf>
    <xf numFmtId="176" fontId="4" fillId="2" borderId="2" xfId="17" applyNumberFormat="true" applyFont="true" applyFill="true" applyBorder="true" applyAlignment="true">
      <alignment horizontal="right" vertical="center"/>
    </xf>
    <xf numFmtId="49" fontId="4" fillId="2" borderId="3" xfId="17" applyNumberFormat="true" applyFont="true" applyFill="true" applyBorder="true" applyAlignment="true">
      <alignment vertical="center" shrinkToFit="true"/>
    </xf>
    <xf numFmtId="176" fontId="4" fillId="2" borderId="3" xfId="17" applyNumberFormat="true" applyFont="true" applyFill="true" applyBorder="true" applyAlignment="true">
      <alignment horizontal="right" vertical="center"/>
    </xf>
    <xf numFmtId="49" fontId="4" fillId="2" borderId="4" xfId="17" applyNumberFormat="true" applyFont="true" applyFill="true" applyBorder="true" applyAlignment="true">
      <alignment vertical="center" shrinkToFit="true"/>
    </xf>
    <xf numFmtId="176" fontId="4" fillId="2" borderId="4" xfId="17" applyNumberFormat="true" applyFont="true" applyFill="true" applyBorder="true" applyAlignment="true">
      <alignment horizontal="right" vertical="center"/>
    </xf>
    <xf numFmtId="176" fontId="4" fillId="3" borderId="2" xfId="17" applyNumberFormat="true" applyFont="true" applyFill="true" applyBorder="true" applyAlignment="true">
      <alignment horizontal="right" vertical="center"/>
    </xf>
    <xf numFmtId="49" fontId="4" fillId="2" borderId="5" xfId="17" applyNumberFormat="true" applyFont="true" applyFill="true" applyBorder="true" applyAlignment="true">
      <alignment vertical="center" shrinkToFit="true"/>
    </xf>
    <xf numFmtId="49" fontId="4" fillId="2" borderId="6" xfId="17" applyNumberFormat="true" applyFont="true" applyFill="true" applyBorder="true" applyAlignment="true">
      <alignment horizontal="center" vertical="center"/>
    </xf>
    <xf numFmtId="0" fontId="4" fillId="2" borderId="6" xfId="17" applyFont="true" applyFill="true" applyBorder="true"/>
    <xf numFmtId="49" fontId="3" fillId="2" borderId="7" xfId="17" applyNumberFormat="true" applyFont="true" applyFill="true" applyBorder="true" applyAlignment="true">
      <alignment horizontal="center" vertical="center"/>
    </xf>
    <xf numFmtId="49" fontId="3" fillId="2" borderId="8" xfId="17" applyNumberFormat="true" applyFont="true" applyFill="true" applyBorder="true" applyAlignment="true">
      <alignment horizontal="center" vertical="center"/>
    </xf>
    <xf numFmtId="0" fontId="3" fillId="2" borderId="9" xfId="17" applyFont="true" applyFill="true" applyBorder="true" applyAlignment="true">
      <alignment horizontal="center" vertical="center"/>
    </xf>
    <xf numFmtId="0" fontId="3" fillId="2" borderId="10" xfId="17" applyFont="true" applyFill="true" applyBorder="true" applyAlignment="true">
      <alignment horizontal="center" vertical="center"/>
    </xf>
    <xf numFmtId="0" fontId="3" fillId="2" borderId="11" xfId="17" applyFont="true" applyFill="true" applyBorder="true" applyAlignment="true">
      <alignment horizontal="center" vertical="center"/>
    </xf>
    <xf numFmtId="49" fontId="3" fillId="2" borderId="3" xfId="17" applyNumberFormat="true" applyFont="true" applyFill="true" applyBorder="true" applyAlignment="true">
      <alignment horizontal="center" vertical="center"/>
    </xf>
    <xf numFmtId="49" fontId="3" fillId="2" borderId="3" xfId="17" applyNumberFormat="true" applyFont="true" applyFill="true" applyBorder="true" applyAlignment="true">
      <alignment horizontal="center" vertical="center" wrapText="true"/>
    </xf>
    <xf numFmtId="49" fontId="4" fillId="2" borderId="12" xfId="17" applyNumberFormat="true" applyFont="true" applyFill="true" applyBorder="true" applyAlignment="true">
      <alignment vertical="center"/>
    </xf>
    <xf numFmtId="176" fontId="4" fillId="3" borderId="12" xfId="17" applyNumberFormat="true" applyFont="true" applyFill="true" applyBorder="true" applyAlignment="true">
      <alignment horizontal="right" vertical="center"/>
    </xf>
    <xf numFmtId="176" fontId="4" fillId="2" borderId="12" xfId="17" applyNumberFormat="true" applyFont="true" applyFill="true" applyBorder="true" applyAlignment="true">
      <alignment horizontal="right" vertical="center"/>
    </xf>
    <xf numFmtId="49" fontId="4" fillId="2" borderId="13" xfId="17" applyNumberFormat="true" applyFont="true" applyFill="true" applyBorder="true" applyAlignment="true">
      <alignment vertical="center"/>
    </xf>
    <xf numFmtId="49" fontId="4" fillId="2" borderId="14" xfId="17" applyNumberFormat="true" applyFont="true" applyFill="true" applyBorder="true" applyAlignment="true">
      <alignment vertical="center"/>
    </xf>
    <xf numFmtId="49" fontId="4" fillId="2" borderId="12" xfId="17" applyNumberFormat="true" applyFont="true" applyFill="true" applyBorder="true" applyAlignment="true">
      <alignment horizontal="center" vertical="center"/>
    </xf>
    <xf numFmtId="49" fontId="3" fillId="2" borderId="15" xfId="17" applyNumberFormat="true" applyFont="true" applyFill="true" applyBorder="true" applyAlignment="true">
      <alignment horizontal="center" vertical="center"/>
    </xf>
    <xf numFmtId="0" fontId="3" fillId="2" borderId="16" xfId="17" applyFont="true" applyFill="true" applyBorder="true" applyAlignment="true">
      <alignment horizontal="center" vertical="center"/>
    </xf>
    <xf numFmtId="49" fontId="5" fillId="2" borderId="0" xfId="17" applyNumberFormat="true" applyFont="true" applyFill="true" applyAlignment="true">
      <alignment horizontal="center" vertical="center"/>
    </xf>
    <xf numFmtId="49" fontId="4" fillId="2" borderId="17" xfId="17" applyNumberFormat="true" applyFont="true" applyFill="true" applyBorder="true" applyAlignment="true">
      <alignment vertical="center"/>
    </xf>
    <xf numFmtId="49" fontId="4" fillId="2" borderId="17" xfId="17" applyNumberFormat="true" applyFont="true" applyFill="true" applyBorder="true" applyAlignment="true">
      <alignment horizontal="right" vertical="center"/>
    </xf>
    <xf numFmtId="49" fontId="3" fillId="2" borderId="12" xfId="17" applyNumberFormat="true" applyFont="true" applyFill="true" applyBorder="true" applyAlignment="true">
      <alignment horizontal="center" vertical="center"/>
    </xf>
    <xf numFmtId="49" fontId="4" fillId="2" borderId="18" xfId="17" applyNumberFormat="true" applyFont="true" applyFill="true" applyBorder="true" applyAlignment="true">
      <alignment vertical="center"/>
    </xf>
    <xf numFmtId="176" fontId="4" fillId="2" borderId="5" xfId="17" applyNumberFormat="true" applyFont="true" applyFill="true" applyBorder="true" applyAlignment="true">
      <alignment horizontal="right" vertical="center"/>
    </xf>
    <xf numFmtId="49" fontId="4" fillId="2" borderId="15" xfId="17" applyNumberFormat="true" applyFont="true" applyFill="true" applyBorder="true" applyAlignment="true">
      <alignment vertical="center"/>
    </xf>
    <xf numFmtId="49" fontId="4" fillId="2" borderId="15" xfId="17" applyNumberFormat="true" applyFont="true" applyFill="true" applyBorder="true" applyAlignment="true">
      <alignment horizontal="left" vertical="center"/>
    </xf>
    <xf numFmtId="176" fontId="4" fillId="2" borderId="13" xfId="17" applyNumberFormat="true" applyFont="true" applyFill="true" applyBorder="true" applyAlignment="true">
      <alignment horizontal="right" vertical="center"/>
    </xf>
    <xf numFmtId="49" fontId="4" fillId="2" borderId="2" xfId="17" applyNumberFormat="true" applyFont="true" applyFill="true" applyBorder="true" applyAlignment="true">
      <alignment vertical="center"/>
    </xf>
    <xf numFmtId="176" fontId="4" fillId="3" borderId="3" xfId="17" applyNumberFormat="true" applyFont="true" applyFill="true" applyBorder="true" applyAlignment="true">
      <alignment horizontal="right" vertical="center"/>
    </xf>
    <xf numFmtId="176" fontId="4" fillId="2" borderId="19" xfId="17" applyNumberFormat="true" applyFont="true" applyFill="true" applyBorder="true" applyAlignment="true">
      <alignment horizontal="right" vertical="center"/>
    </xf>
    <xf numFmtId="49" fontId="4" fillId="2" borderId="0" xfId="17" applyNumberFormat="true" applyFont="true" applyFill="true" applyAlignment="true">
      <alignment vertical="center"/>
    </xf>
    <xf numFmtId="0" fontId="4" fillId="2" borderId="0" xfId="17" applyFont="true" applyFill="true" applyAlignment="true">
      <alignment vertical="center"/>
    </xf>
    <xf numFmtId="0" fontId="4" fillId="2" borderId="0" xfId="17" applyFont="true" applyFill="true" applyAlignment="true">
      <alignment horizontal="right" vertical="center"/>
    </xf>
    <xf numFmtId="49" fontId="4" fillId="2" borderId="20" xfId="17" applyNumberFormat="true" applyFont="true" applyFill="true" applyBorder="true" applyAlignment="true">
      <alignment vertical="center"/>
    </xf>
    <xf numFmtId="176" fontId="4" fillId="2" borderId="20" xfId="17" applyNumberFormat="true" applyFont="true" applyFill="true" applyBorder="true" applyAlignment="true">
      <alignment horizontal="right" vertical="center"/>
    </xf>
    <xf numFmtId="49" fontId="4" fillId="2" borderId="4" xfId="17" applyNumberFormat="true" applyFont="true" applyFill="true" applyBorder="true" applyAlignment="true">
      <alignment vertical="center"/>
    </xf>
    <xf numFmtId="49" fontId="4" fillId="2" borderId="21" xfId="17" applyNumberFormat="true" applyFont="true" applyFill="true" applyBorder="true" applyAlignment="true">
      <alignment vertical="center"/>
    </xf>
    <xf numFmtId="176" fontId="4" fillId="2" borderId="21" xfId="17" applyNumberFormat="true" applyFont="true" applyFill="true" applyBorder="true" applyAlignment="true">
      <alignment horizontal="right" vertical="center"/>
    </xf>
    <xf numFmtId="176" fontId="4" fillId="2" borderId="22" xfId="17" applyNumberFormat="true" applyFont="true" applyFill="true" applyBorder="true" applyAlignment="true">
      <alignment horizontal="right" vertical="center"/>
    </xf>
    <xf numFmtId="176" fontId="4" fillId="2" borderId="15" xfId="17" applyNumberFormat="true" applyFont="true" applyFill="true" applyBorder="true" applyAlignment="true">
      <alignment horizontal="right" vertical="center"/>
    </xf>
    <xf numFmtId="49" fontId="4" fillId="2" borderId="3" xfId="17" applyNumberFormat="true" applyFont="true" applyFill="true" applyBorder="true" applyAlignment="true">
      <alignment vertical="center"/>
    </xf>
    <xf numFmtId="49" fontId="6" fillId="2" borderId="6" xfId="17" applyNumberFormat="true" applyFont="true" applyFill="true" applyBorder="true"/>
    <xf numFmtId="0" fontId="4" fillId="2" borderId="6" xfId="17" applyFont="true" applyFill="true" applyBorder="true" applyAlignment="true">
      <alignment vertical="center"/>
    </xf>
    <xf numFmtId="0" fontId="7" fillId="2" borderId="0" xfId="17" applyFont="true" applyFill="true"/>
    <xf numFmtId="49" fontId="8" fillId="2" borderId="0" xfId="17" applyNumberFormat="true" applyFont="true" applyFill="true"/>
    <xf numFmtId="49" fontId="8" fillId="2" borderId="17" xfId="17" applyNumberFormat="true" applyFont="true" applyFill="true" applyBorder="true"/>
    <xf numFmtId="49" fontId="3" fillId="2" borderId="15" xfId="17" applyNumberFormat="true" applyFont="true" applyFill="true" applyBorder="true" applyAlignment="true">
      <alignment horizontal="center" vertical="center" wrapText="true"/>
    </xf>
    <xf numFmtId="49" fontId="3" fillId="2" borderId="12" xfId="17" applyNumberFormat="true" applyFont="true" applyFill="true" applyBorder="true" applyAlignment="true">
      <alignment horizontal="center" vertical="center" wrapText="true"/>
    </xf>
    <xf numFmtId="49" fontId="3" fillId="2" borderId="23" xfId="17" applyNumberFormat="true" applyFont="true" applyFill="true" applyBorder="true" applyAlignment="true">
      <alignment horizontal="center" vertical="center" wrapText="true"/>
    </xf>
    <xf numFmtId="49" fontId="4" fillId="2" borderId="21" xfId="17" applyNumberFormat="true" applyFont="true" applyFill="true" applyBorder="true" applyAlignment="true">
      <alignment horizontal="left" vertical="center"/>
    </xf>
    <xf numFmtId="176" fontId="4" fillId="3" borderId="4" xfId="17" applyNumberFormat="true" applyFont="true" applyFill="true" applyBorder="true" applyAlignment="true">
      <alignment horizontal="right" vertical="center"/>
    </xf>
    <xf numFmtId="49" fontId="4" fillId="2" borderId="2" xfId="17" applyNumberFormat="true" applyFont="true" applyFill="true" applyBorder="true" applyAlignment="true">
      <alignment horizontal="left" vertical="center"/>
    </xf>
    <xf numFmtId="49" fontId="4" fillId="3" borderId="2" xfId="17" applyNumberFormat="true" applyFont="true" applyFill="true" applyBorder="true" applyAlignment="true">
      <alignment horizontal="center" vertical="center"/>
    </xf>
    <xf numFmtId="0" fontId="9" fillId="2" borderId="0" xfId="17" applyFont="true" applyFill="true" applyAlignment="true">
      <alignment vertical="center"/>
    </xf>
    <xf numFmtId="0" fontId="8" fillId="2" borderId="0" xfId="17" applyFont="true" applyFill="true"/>
    <xf numFmtId="49" fontId="9" fillId="2" borderId="0" xfId="17" applyNumberFormat="true" applyFont="true" applyFill="true" applyAlignment="true">
      <alignment horizontal="right"/>
    </xf>
    <xf numFmtId="49" fontId="3" fillId="2" borderId="2" xfId="17" applyNumberFormat="true" applyFont="true" applyFill="true" applyBorder="true" applyAlignment="true">
      <alignment horizontal="center" vertical="center" wrapText="true"/>
    </xf>
    <xf numFmtId="0" fontId="9" fillId="2" borderId="0" xfId="17" applyFont="true" applyFill="true" applyAlignment="true">
      <alignment horizontal="right" vertical="center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Normal" xfId="17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FFFFFF"/>
      <rgbColor rgb="00800080"/>
      <rgbColor rgb="000000FF"/>
      <rgbColor rgb="00C0C0C0"/>
      <rgbColor rgb="0000FF00"/>
      <rgbColor rgb="009999FF"/>
      <rgbColor rgb="00FF0000"/>
      <rgbColor rgb="00FFFFCC"/>
      <rgbColor rgb="0000FFFF"/>
      <rgbColor rgb="00660066"/>
      <rgbColor rgb="00FF00FF"/>
      <rgbColor rgb="000066CC"/>
      <rgbColor rgb="00FFFF00"/>
      <rgbColor rgb="00000080"/>
      <rgbColor rgb="00000080"/>
      <rgbColor rgb="00FFFF00"/>
      <rgbColor rgb="00008000"/>
      <rgbColor rgb="00800080"/>
      <rgbColor rgb="00800000"/>
      <rgbColor rgb="00008080"/>
      <rgbColor rgb="00008080"/>
      <rgbColor rgb="0000CCFF"/>
      <rgbColor rgb="00800080"/>
      <rgbColor rgb="00CCFFCC"/>
      <rgbColor rgb="00808000"/>
      <rgbColor rgb="0099CCFF"/>
      <rgbColor rgb="00C0C0C0"/>
      <rgbColor rgb="00CC99FF"/>
      <rgbColor rgb="00808080"/>
      <rgbColor rgb="003366FF"/>
      <rgbColor rgb="00FF9999"/>
      <rgbColor rgb="0099CC00"/>
      <rgbColor rgb="00663399"/>
      <rgbColor rgb="00FF9900"/>
      <rgbColor rgb="00CCFFFF"/>
      <rgbColor rgb="00666699"/>
      <rgbColor rgb="00FFFFCC"/>
      <rgbColor rgb="00003366"/>
      <rgbColor rgb="00660066"/>
      <rgbColor rgb="00003300"/>
      <rgbColor rgb="008080FF"/>
      <rgbColor rgb="00993300"/>
      <rgbColor rgb="00CC6600"/>
      <rgbColor rgb="00333399"/>
      <rgbColor rgb="00FFCCCC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showZeros="0" workbookViewId="0">
      <pane topLeftCell="B5" activePane="bottomRight" state="frozen"/>
      <selection activeCell="B10" sqref="B10"/>
    </sheetView>
  </sheetViews>
  <sheetFormatPr defaultColWidth="8" defaultRowHeight="13.5" outlineLevelCol="5"/>
  <cols>
    <col min="1" max="1" width="56.375" style="1" customWidth="true"/>
    <col min="2" max="2" width="23.6666666666667" style="1"/>
    <col min="3" max="3" width="19.2166666666667" style="1"/>
    <col min="4" max="4" width="22.225" style="1"/>
    <col min="5" max="5" width="24.0916666666667" style="1"/>
    <col min="6" max="6" width="17.925" style="1"/>
  </cols>
  <sheetData>
    <row r="1" ht="45" customHeight="true" spans="1:6">
      <c r="A1" s="2" t="s">
        <v>0</v>
      </c>
      <c r="B1" s="3"/>
      <c r="C1" s="60"/>
      <c r="D1" s="3"/>
      <c r="E1" s="3"/>
      <c r="F1" s="3"/>
    </row>
    <row r="2" ht="19.5" customHeight="true" spans="1:6">
      <c r="A2" s="47"/>
      <c r="B2" s="47"/>
      <c r="C2" s="61"/>
      <c r="D2" s="47"/>
      <c r="E2" s="47"/>
      <c r="F2" s="72" t="s">
        <v>1</v>
      </c>
    </row>
    <row r="3" ht="19.5" customHeight="true" spans="1:6">
      <c r="A3" s="7" t="s">
        <v>2</v>
      </c>
      <c r="B3" s="7"/>
      <c r="C3" s="62"/>
      <c r="D3" s="7"/>
      <c r="E3" s="7"/>
      <c r="F3" s="8" t="s">
        <v>3</v>
      </c>
    </row>
    <row r="4" ht="39.75" customHeight="true" spans="1:6">
      <c r="A4" s="9" t="s">
        <v>4</v>
      </c>
      <c r="B4" s="63" t="s">
        <v>5</v>
      </c>
      <c r="C4" s="64" t="s">
        <v>6</v>
      </c>
      <c r="D4" s="65" t="s">
        <v>7</v>
      </c>
      <c r="E4" s="73" t="s">
        <v>8</v>
      </c>
      <c r="F4" s="73" t="s">
        <v>9</v>
      </c>
    </row>
    <row r="5" ht="27" customHeight="true" spans="1:6">
      <c r="A5" s="66" t="s">
        <v>10</v>
      </c>
      <c r="B5" s="16">
        <f>SUM(B6:B13)</f>
        <v>3303710527.21</v>
      </c>
      <c r="C5" s="67">
        <v>9998246.98</v>
      </c>
      <c r="D5" s="16">
        <v>1575852139.79</v>
      </c>
      <c r="E5" s="16">
        <v>1186208946.77</v>
      </c>
      <c r="F5" s="16">
        <v>531651193.67</v>
      </c>
    </row>
    <row r="6" ht="27" customHeight="true" spans="1:6">
      <c r="A6" s="68" t="s">
        <v>11</v>
      </c>
      <c r="B6" s="16">
        <f>SUM(C6:F6)</f>
        <v>1756538676.96</v>
      </c>
      <c r="C6" s="16">
        <v>5911975.6</v>
      </c>
      <c r="D6" s="16">
        <v>422210143.64</v>
      </c>
      <c r="E6" s="16">
        <v>1137880005.72</v>
      </c>
      <c r="F6" s="16">
        <v>190536552</v>
      </c>
    </row>
    <row r="7" ht="27" customHeight="true" spans="1:6">
      <c r="A7" s="68" t="s">
        <v>12</v>
      </c>
      <c r="B7" s="16">
        <f t="shared" ref="B7:B13" si="0">SUM(C7:F7)</f>
        <v>1234895566.15</v>
      </c>
      <c r="C7" s="16">
        <v>3313232</v>
      </c>
      <c r="D7" s="16">
        <v>898143634.15</v>
      </c>
      <c r="E7" s="16">
        <v>0</v>
      </c>
      <c r="F7" s="16">
        <v>333438700</v>
      </c>
    </row>
    <row r="8" ht="27" customHeight="true" spans="1:6">
      <c r="A8" s="44" t="s">
        <v>13</v>
      </c>
      <c r="B8" s="16">
        <f t="shared" si="0"/>
        <v>50237561.59</v>
      </c>
      <c r="C8" s="16">
        <v>332682.25</v>
      </c>
      <c r="D8" s="16">
        <v>7054485.96</v>
      </c>
      <c r="E8" s="16">
        <v>40888792.69</v>
      </c>
      <c r="F8" s="16">
        <v>1961600.69</v>
      </c>
    </row>
    <row r="9" ht="27" customHeight="true" spans="1:6">
      <c r="A9" s="44" t="s">
        <v>14</v>
      </c>
      <c r="B9" s="16">
        <f t="shared" si="0"/>
        <v>332357.13</v>
      </c>
      <c r="C9" s="16">
        <v>332357.13</v>
      </c>
      <c r="D9" s="69"/>
      <c r="E9" s="16"/>
      <c r="F9" s="16"/>
    </row>
    <row r="10" ht="27" customHeight="true" spans="1:6">
      <c r="A10" s="44" t="s">
        <v>15</v>
      </c>
      <c r="B10" s="16">
        <f t="shared" si="0"/>
        <v>248118053.72</v>
      </c>
      <c r="C10" s="16">
        <v>108000</v>
      </c>
      <c r="D10" s="16">
        <v>247962576.04</v>
      </c>
      <c r="E10" s="16">
        <v>47477.68</v>
      </c>
      <c r="F10" s="16"/>
    </row>
    <row r="11" ht="27" customHeight="true" spans="1:6">
      <c r="A11" s="44" t="s">
        <v>16</v>
      </c>
      <c r="B11" s="16">
        <f t="shared" si="0"/>
        <v>13588311.66</v>
      </c>
      <c r="C11" s="16">
        <v>0</v>
      </c>
      <c r="D11" s="16">
        <v>481300</v>
      </c>
      <c r="E11" s="16">
        <v>7392670.68</v>
      </c>
      <c r="F11" s="16">
        <v>5714340.98</v>
      </c>
    </row>
    <row r="12" ht="27" customHeight="true" spans="1:6">
      <c r="A12" s="44" t="s">
        <v>17</v>
      </c>
      <c r="B12" s="16">
        <f t="shared" si="0"/>
        <v>0</v>
      </c>
      <c r="C12" s="16"/>
      <c r="D12" s="16"/>
      <c r="E12" s="16"/>
      <c r="F12" s="16"/>
    </row>
    <row r="13" ht="27" customHeight="true" spans="1:6">
      <c r="A13" s="44" t="s">
        <v>18</v>
      </c>
      <c r="B13" s="16">
        <f t="shared" si="0"/>
        <v>0</v>
      </c>
      <c r="C13" s="16"/>
      <c r="D13" s="16"/>
      <c r="E13" s="16"/>
      <c r="F13" s="16"/>
    </row>
    <row r="14" ht="27" customHeight="true" spans="1:6">
      <c r="A14" s="61"/>
      <c r="B14" s="70"/>
      <c r="C14" s="71"/>
      <c r="D14" s="70"/>
      <c r="E14" s="70"/>
      <c r="F14" s="74"/>
    </row>
  </sheetData>
  <mergeCells count="1">
    <mergeCell ref="A1:F1"/>
  </mergeCells>
  <printOptions horizontalCentered="true"/>
  <pageMargins left="0.393700787401575" right="0.393700787401575" top="0.78740157480315" bottom="0.78740157480315" header="0.51181" footer="0.51181"/>
  <pageSetup paperSize="9" scale="70" pageOrder="overThenDown" orientation="landscape" errors="blank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showGridLines="0" tabSelected="1" workbookViewId="0">
      <pane topLeftCell="B5" activePane="bottomRight" state="frozen"/>
      <selection activeCell="B8" sqref="B8"/>
    </sheetView>
  </sheetViews>
  <sheetFormatPr defaultColWidth="8" defaultRowHeight="13.5" outlineLevelCol="2"/>
  <cols>
    <col min="1" max="1" width="46.875" style="1" customWidth="true"/>
    <col min="2" max="2" width="35.125" style="1" customWidth="true"/>
    <col min="3" max="3" width="33.5" style="1" customWidth="true"/>
  </cols>
  <sheetData>
    <row r="1" ht="48" customHeight="true" spans="1:3">
      <c r="A1" s="2" t="s">
        <v>19</v>
      </c>
      <c r="B1" s="3"/>
      <c r="C1" s="3"/>
    </row>
    <row r="2" ht="19.5" customHeight="true" spans="1:3">
      <c r="A2" s="4"/>
      <c r="B2" s="6" t="s">
        <v>20</v>
      </c>
      <c r="C2" s="49"/>
    </row>
    <row r="3" ht="19.5" customHeight="true" spans="1:3">
      <c r="A3" s="36" t="s">
        <v>2</v>
      </c>
      <c r="B3" s="37"/>
      <c r="C3" s="37" t="s">
        <v>3</v>
      </c>
    </row>
    <row r="4" ht="28.5" customHeight="true" spans="1:3">
      <c r="A4" s="38" t="s">
        <v>4</v>
      </c>
      <c r="B4" s="38" t="s">
        <v>21</v>
      </c>
      <c r="C4" s="38" t="s">
        <v>22</v>
      </c>
    </row>
    <row r="5" ht="28.5" customHeight="true" spans="1:3">
      <c r="A5" s="50" t="s">
        <v>23</v>
      </c>
      <c r="B5" s="51">
        <v>6125900</v>
      </c>
      <c r="C5" s="51">
        <v>5911975.6</v>
      </c>
    </row>
    <row r="6" ht="28.5" customHeight="true" spans="1:3">
      <c r="A6" s="50" t="s">
        <v>24</v>
      </c>
      <c r="B6" s="51">
        <v>5752200</v>
      </c>
      <c r="C6" s="51">
        <v>5536175.6</v>
      </c>
    </row>
    <row r="7" ht="28.5" customHeight="true" spans="1:3">
      <c r="A7" s="50" t="s">
        <v>25</v>
      </c>
      <c r="B7" s="51">
        <v>0</v>
      </c>
      <c r="C7" s="51">
        <v>0</v>
      </c>
    </row>
    <row r="8" ht="28.5" customHeight="true" spans="1:3">
      <c r="A8" s="50" t="s">
        <v>26</v>
      </c>
      <c r="B8" s="51">
        <v>0</v>
      </c>
      <c r="C8" s="51">
        <v>0</v>
      </c>
    </row>
    <row r="9" ht="28.5" customHeight="true" spans="1:3">
      <c r="A9" s="52" t="s">
        <v>27</v>
      </c>
      <c r="B9" s="15">
        <v>373700</v>
      </c>
      <c r="C9" s="15">
        <v>375800</v>
      </c>
    </row>
    <row r="10" ht="28.5" customHeight="true" spans="1:3">
      <c r="A10" s="53" t="s">
        <v>28</v>
      </c>
      <c r="B10" s="54">
        <v>2925120</v>
      </c>
      <c r="C10" s="55">
        <v>3313232</v>
      </c>
    </row>
    <row r="11" ht="28.5" customHeight="true" spans="1:3">
      <c r="A11" s="44" t="s">
        <v>29</v>
      </c>
      <c r="B11" s="11">
        <v>2612359</v>
      </c>
      <c r="C11" s="56">
        <v>2957272</v>
      </c>
    </row>
    <row r="12" ht="28.5" customHeight="true" spans="1:3">
      <c r="A12" s="57" t="s">
        <v>30</v>
      </c>
      <c r="B12" s="11">
        <v>250761</v>
      </c>
      <c r="C12" s="56">
        <v>287460</v>
      </c>
    </row>
    <row r="13" ht="28.5" customHeight="true" spans="1:3">
      <c r="A13" s="52" t="s">
        <v>31</v>
      </c>
      <c r="B13" s="11">
        <v>0</v>
      </c>
      <c r="C13" s="56">
        <v>0</v>
      </c>
    </row>
    <row r="14" ht="28.5" customHeight="true" spans="1:3">
      <c r="A14" s="44" t="s">
        <v>32</v>
      </c>
      <c r="B14" s="11">
        <v>278458.3</v>
      </c>
      <c r="C14" s="56">
        <v>332682.25</v>
      </c>
    </row>
    <row r="15" ht="28.5" customHeight="true" spans="1:3">
      <c r="A15" s="44" t="s">
        <v>33</v>
      </c>
      <c r="B15" s="11">
        <v>249429.91</v>
      </c>
      <c r="C15" s="56">
        <v>332357.13</v>
      </c>
    </row>
    <row r="16" ht="28.5" customHeight="true" spans="1:3">
      <c r="A16" s="44" t="s">
        <v>34</v>
      </c>
      <c r="B16" s="11">
        <v>107161.36</v>
      </c>
      <c r="C16" s="56">
        <v>108000</v>
      </c>
    </row>
    <row r="17" ht="28.5" customHeight="true" spans="1:3">
      <c r="A17" s="44" t="s">
        <v>35</v>
      </c>
      <c r="B17" s="11">
        <v>8950</v>
      </c>
      <c r="C17" s="56">
        <v>0</v>
      </c>
    </row>
    <row r="18" ht="28.5" customHeight="true" spans="1:3">
      <c r="A18" s="44" t="s">
        <v>36</v>
      </c>
      <c r="B18" s="16">
        <f>B5+B10+B13+B14+B15+B16+B17</f>
        <v>9695019.57</v>
      </c>
      <c r="C18" s="16">
        <f>C5+C10+C13+C14+C15+C16+C17</f>
        <v>9998246.98</v>
      </c>
    </row>
    <row r="19" ht="28.5" customHeight="true" spans="1:3">
      <c r="A19" s="44" t="s">
        <v>37</v>
      </c>
      <c r="B19" s="11">
        <v>0</v>
      </c>
      <c r="C19" s="11">
        <v>0</v>
      </c>
    </row>
    <row r="20" ht="28.5" customHeight="true" spans="1:3">
      <c r="A20" s="44" t="s">
        <v>38</v>
      </c>
      <c r="B20" s="11">
        <v>0</v>
      </c>
      <c r="C20" s="11">
        <v>0</v>
      </c>
    </row>
    <row r="21" ht="28.5" customHeight="true" spans="1:3">
      <c r="A21" s="57" t="s">
        <v>39</v>
      </c>
      <c r="B21" s="45">
        <f>B18+B19+B20</f>
        <v>9695019.57</v>
      </c>
      <c r="C21" s="45">
        <f>C18+C19+C20</f>
        <v>9998246.98</v>
      </c>
    </row>
    <row r="22" ht="15.75" customHeight="true" spans="1:3">
      <c r="A22" s="58"/>
      <c r="B22" s="59"/>
      <c r="C22" s="59"/>
    </row>
  </sheetData>
  <mergeCells count="2">
    <mergeCell ref="A1:C1"/>
    <mergeCell ref="B2:C2"/>
  </mergeCells>
  <printOptions horizontalCentered="true"/>
  <pageMargins left="0.393700787401575" right="0.393700787401575" top="0.393700787401575" bottom="0.393700787401575" header="0.51181" footer="0.51181"/>
  <pageSetup paperSize="9" scale="80" pageOrder="overThenDown" orientation="landscape" errors="blank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showGridLines="0" showZeros="0" workbookViewId="0">
      <pane topLeftCell="B7" activePane="bottomRight" state="frozen"/>
      <selection activeCell="B9" sqref="B9"/>
    </sheetView>
  </sheetViews>
  <sheetFormatPr defaultColWidth="8" defaultRowHeight="13.5" outlineLevelCol="2"/>
  <cols>
    <col min="1" max="1" width="54.875" style="1" customWidth="true"/>
    <col min="2" max="2" width="37.375" style="1" customWidth="true"/>
    <col min="3" max="3" width="31.75" style="1" customWidth="true"/>
  </cols>
  <sheetData>
    <row r="1" ht="48" customHeight="true" spans="1:3">
      <c r="A1" s="2" t="s">
        <v>40</v>
      </c>
      <c r="B1" s="3"/>
      <c r="C1" s="3"/>
    </row>
    <row r="2" ht="21" customHeight="true" spans="1:3">
      <c r="A2" s="35"/>
      <c r="B2" s="35"/>
      <c r="C2" s="6" t="s">
        <v>41</v>
      </c>
    </row>
    <row r="3" ht="21" customHeight="true" spans="1:3">
      <c r="A3" s="36" t="s">
        <v>2</v>
      </c>
      <c r="B3" s="36"/>
      <c r="C3" s="37" t="s">
        <v>3</v>
      </c>
    </row>
    <row r="4" ht="28.5" customHeight="true" spans="1:3">
      <c r="A4" s="38" t="s">
        <v>4</v>
      </c>
      <c r="B4" s="38" t="s">
        <v>21</v>
      </c>
      <c r="C4" s="38" t="s">
        <v>22</v>
      </c>
    </row>
    <row r="5" ht="28.5" customHeight="true" spans="1:3">
      <c r="A5" s="39" t="s">
        <v>42</v>
      </c>
      <c r="B5" s="29">
        <v>697799026.38</v>
      </c>
      <c r="C5" s="40">
        <v>422210143.64</v>
      </c>
    </row>
    <row r="6" ht="28.5" customHeight="true" spans="1:3">
      <c r="A6" s="31" t="s">
        <v>43</v>
      </c>
      <c r="B6" s="29">
        <v>418573984.48</v>
      </c>
      <c r="C6" s="40">
        <v>422210143.64</v>
      </c>
    </row>
    <row r="7" ht="28.5" customHeight="true" spans="1:3">
      <c r="A7" s="39" t="s">
        <v>28</v>
      </c>
      <c r="B7" s="29">
        <v>853519846.45</v>
      </c>
      <c r="C7" s="40">
        <v>898143634.15</v>
      </c>
    </row>
    <row r="8" ht="28.5" customHeight="true" spans="1:3">
      <c r="A8" s="41" t="s">
        <v>44</v>
      </c>
      <c r="B8" s="29">
        <v>735619846.45</v>
      </c>
      <c r="C8" s="40">
        <v>769773634.15</v>
      </c>
    </row>
    <row r="9" ht="28.5" customHeight="true" spans="1:3">
      <c r="A9" s="41" t="s">
        <v>45</v>
      </c>
      <c r="B9" s="29">
        <v>5766585.68</v>
      </c>
      <c r="C9" s="29">
        <v>7054485.96</v>
      </c>
    </row>
    <row r="10" ht="28.5" customHeight="true" spans="1:3">
      <c r="A10" s="42" t="s">
        <v>46</v>
      </c>
      <c r="B10" s="29">
        <v>481123770.92</v>
      </c>
      <c r="C10" s="29">
        <v>247962576.04</v>
      </c>
    </row>
    <row r="11" ht="28.5" customHeight="true" spans="1:3">
      <c r="A11" s="41" t="s">
        <v>47</v>
      </c>
      <c r="B11" s="29">
        <v>454186.34</v>
      </c>
      <c r="C11" s="29">
        <v>481300</v>
      </c>
    </row>
    <row r="12" ht="28.5" customHeight="true" spans="1:3">
      <c r="A12" s="41" t="s">
        <v>48</v>
      </c>
      <c r="B12" s="43">
        <v>0</v>
      </c>
      <c r="C12" s="43">
        <v>0</v>
      </c>
    </row>
    <row r="13" ht="28.5" customHeight="true" spans="1:3">
      <c r="A13" s="44" t="s">
        <v>49</v>
      </c>
      <c r="B13" s="45">
        <f>B5+B7+B9+B10+B11</f>
        <v>2038663415.77</v>
      </c>
      <c r="C13" s="45">
        <f>C5+C7+C9+C10+C11</f>
        <v>1575852139.79</v>
      </c>
    </row>
    <row r="14" ht="28.5" customHeight="true" spans="1:3">
      <c r="A14" s="41" t="s">
        <v>50</v>
      </c>
      <c r="B14" s="29">
        <v>0</v>
      </c>
      <c r="C14" s="40">
        <v>0</v>
      </c>
    </row>
    <row r="15" ht="28.5" customHeight="true" spans="1:3">
      <c r="A15" s="41" t="s">
        <v>51</v>
      </c>
      <c r="B15" s="43">
        <v>0</v>
      </c>
      <c r="C15" s="46">
        <v>0</v>
      </c>
    </row>
    <row r="16" ht="28.5" customHeight="true" spans="1:3">
      <c r="A16" s="44" t="s">
        <v>52</v>
      </c>
      <c r="B16" s="16">
        <f>B13+B14+B15</f>
        <v>2038663415.77</v>
      </c>
      <c r="C16" s="45">
        <f>C13+C14+C15</f>
        <v>1575852139.79</v>
      </c>
    </row>
    <row r="17" ht="28.5" customHeight="true" spans="1:3">
      <c r="A17" s="47"/>
      <c r="B17" s="48"/>
      <c r="C17" s="48"/>
    </row>
  </sheetData>
  <mergeCells count="1">
    <mergeCell ref="A1:C1"/>
  </mergeCells>
  <printOptions horizontalCentered="true"/>
  <pageMargins left="0.393700787401575" right="0.393700787401575" top="0.393700787401575" bottom="0.393700787401575" header="0.51181" footer="0.51181"/>
  <pageSetup paperSize="9" scale="90" pageOrder="overThenDown" orientation="landscape" errors="blank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workbookViewId="0">
      <pane topLeftCell="B25" activePane="bottomRight" state="frozen"/>
      <selection activeCell="D10" sqref="D10"/>
    </sheetView>
  </sheetViews>
  <sheetFormatPr defaultColWidth="8" defaultRowHeight="13.5" outlineLevelCol="6"/>
  <cols>
    <col min="1" max="1" width="33.625" style="1" customWidth="true"/>
    <col min="2" max="2" width="24.2333333333333" style="1"/>
    <col min="3" max="3" width="27.1083333333333" style="1"/>
    <col min="4" max="5" width="24.2333333333333" style="1"/>
    <col min="6" max="6" width="27.5333333333333" style="1"/>
    <col min="7" max="7" width="24.2333333333333" style="1"/>
  </cols>
  <sheetData>
    <row r="1" ht="48" customHeight="true" spans="1:7">
      <c r="A1" s="2" t="s">
        <v>53</v>
      </c>
      <c r="B1" s="3"/>
      <c r="C1" s="3"/>
      <c r="D1" s="3"/>
      <c r="E1" s="3"/>
      <c r="F1" s="3"/>
      <c r="G1" s="3"/>
    </row>
    <row r="2" ht="21" customHeight="true" spans="1:7">
      <c r="A2" s="4"/>
      <c r="B2" s="4"/>
      <c r="C2" s="4"/>
      <c r="D2" s="4"/>
      <c r="E2" s="4"/>
      <c r="F2" s="4"/>
      <c r="G2" s="6" t="s">
        <v>54</v>
      </c>
    </row>
    <row r="3" ht="21" customHeight="true" spans="1:7">
      <c r="A3" s="7" t="s">
        <v>2</v>
      </c>
      <c r="B3" s="7"/>
      <c r="C3" s="7"/>
      <c r="D3" s="7"/>
      <c r="E3" s="7"/>
      <c r="F3" s="7"/>
      <c r="G3" s="8" t="s">
        <v>3</v>
      </c>
    </row>
    <row r="4" ht="28.5" customHeight="true" spans="1:7">
      <c r="A4" s="20" t="s">
        <v>4</v>
      </c>
      <c r="B4" s="21" t="s">
        <v>21</v>
      </c>
      <c r="C4" s="22"/>
      <c r="D4" s="23"/>
      <c r="E4" s="33" t="s">
        <v>22</v>
      </c>
      <c r="F4" s="34"/>
      <c r="G4" s="34"/>
    </row>
    <row r="5" ht="36" customHeight="true" spans="1:7">
      <c r="A5" s="24"/>
      <c r="B5" s="25" t="s">
        <v>55</v>
      </c>
      <c r="C5" s="26" t="s">
        <v>56</v>
      </c>
      <c r="D5" s="26" t="s">
        <v>57</v>
      </c>
      <c r="E5" s="25" t="s">
        <v>55</v>
      </c>
      <c r="F5" s="26" t="s">
        <v>56</v>
      </c>
      <c r="G5" s="26" t="s">
        <v>57</v>
      </c>
    </row>
    <row r="6" ht="28.5" customHeight="true" spans="1:7">
      <c r="A6" s="27" t="s">
        <v>58</v>
      </c>
      <c r="B6" s="28">
        <f>C6+D6</f>
        <v>1169813835.18</v>
      </c>
      <c r="C6" s="28">
        <f>C7+C8</f>
        <v>814490789.33</v>
      </c>
      <c r="D6" s="28">
        <f>D7+D8</f>
        <v>355323045.85</v>
      </c>
      <c r="E6" s="28">
        <f>F6+G6</f>
        <v>1137880005.72</v>
      </c>
      <c r="F6" s="28">
        <f>F7+F8</f>
        <v>774595517.81</v>
      </c>
      <c r="G6" s="28">
        <f>G7+G8</f>
        <v>363284487.91</v>
      </c>
    </row>
    <row r="7" ht="28.5" customHeight="true" spans="1:7">
      <c r="A7" s="27" t="s">
        <v>59</v>
      </c>
      <c r="B7" s="28">
        <f>C7+D7</f>
        <v>963838195.67</v>
      </c>
      <c r="C7" s="29">
        <v>812735283.33</v>
      </c>
      <c r="D7" s="29">
        <v>151102912.34</v>
      </c>
      <c r="E7" s="28">
        <f>F7+G7</f>
        <v>921255582.86</v>
      </c>
      <c r="F7" s="29">
        <v>772835241.43</v>
      </c>
      <c r="G7" s="29">
        <v>148420341.43</v>
      </c>
    </row>
    <row r="8" ht="28.5" customHeight="true" spans="1:7">
      <c r="A8" s="30" t="s">
        <v>60</v>
      </c>
      <c r="B8" s="28">
        <f>C8+D8</f>
        <v>205975639.51</v>
      </c>
      <c r="C8" s="29">
        <v>1755506</v>
      </c>
      <c r="D8" s="29">
        <v>204220133.51</v>
      </c>
      <c r="E8" s="28">
        <f>F8+G8</f>
        <v>216624422.86</v>
      </c>
      <c r="F8" s="29">
        <v>1760276.38</v>
      </c>
      <c r="G8" s="29">
        <v>214864146.48</v>
      </c>
    </row>
    <row r="9" ht="28.5" customHeight="true" spans="1:7">
      <c r="A9" s="31" t="s">
        <v>28</v>
      </c>
      <c r="B9" s="28">
        <f>C9</f>
        <v>35400</v>
      </c>
      <c r="C9" s="29">
        <v>35400</v>
      </c>
      <c r="D9" s="32" t="s">
        <v>61</v>
      </c>
      <c r="E9" s="28">
        <f>F9</f>
        <v>0</v>
      </c>
      <c r="F9" s="29">
        <v>0</v>
      </c>
      <c r="G9" s="32" t="s">
        <v>61</v>
      </c>
    </row>
    <row r="10" ht="28.5" customHeight="true" spans="1:7">
      <c r="A10" s="27" t="s">
        <v>45</v>
      </c>
      <c r="B10" s="28">
        <f>C10+D10</f>
        <v>41750875.88</v>
      </c>
      <c r="C10" s="29">
        <v>28386349.73</v>
      </c>
      <c r="D10" s="29">
        <v>13364526.15</v>
      </c>
      <c r="E10" s="28">
        <f>F10+G10</f>
        <v>40888792.69</v>
      </c>
      <c r="F10" s="29">
        <v>27978221.78</v>
      </c>
      <c r="G10" s="29">
        <v>12910570.91</v>
      </c>
    </row>
    <row r="11" ht="28.5" customHeight="true" spans="1:7">
      <c r="A11" s="27" t="s">
        <v>46</v>
      </c>
      <c r="B11" s="28">
        <f>D11</f>
        <v>202614.76</v>
      </c>
      <c r="C11" s="32" t="s">
        <v>61</v>
      </c>
      <c r="D11" s="29">
        <v>202614.76</v>
      </c>
      <c r="E11" s="28">
        <f>G11</f>
        <v>47477.68</v>
      </c>
      <c r="F11" s="32" t="s">
        <v>61</v>
      </c>
      <c r="G11" s="29">
        <v>47477.68</v>
      </c>
    </row>
    <row r="12" ht="28.5" customHeight="true" spans="1:7">
      <c r="A12" s="27" t="s">
        <v>47</v>
      </c>
      <c r="B12" s="28">
        <f>C12+D12</f>
        <v>7455689.47</v>
      </c>
      <c r="C12" s="29">
        <v>7387579.57</v>
      </c>
      <c r="D12" s="29">
        <v>68109.9</v>
      </c>
      <c r="E12" s="28">
        <f>F12+G12</f>
        <v>7392670.68</v>
      </c>
      <c r="F12" s="29">
        <v>7317373.08</v>
      </c>
      <c r="G12" s="29">
        <v>75297.6</v>
      </c>
    </row>
    <row r="13" ht="28.5" customHeight="true" spans="1:7">
      <c r="A13" s="27" t="s">
        <v>48</v>
      </c>
      <c r="B13" s="28">
        <f>C13</f>
        <v>31768.18</v>
      </c>
      <c r="C13" s="29">
        <v>31768.18</v>
      </c>
      <c r="D13" s="32" t="s">
        <v>61</v>
      </c>
      <c r="E13" s="28">
        <f>F13</f>
        <v>24165.02</v>
      </c>
      <c r="F13" s="29">
        <v>24165.02</v>
      </c>
      <c r="G13" s="32" t="s">
        <v>61</v>
      </c>
    </row>
    <row r="14" ht="28.5" customHeight="true" spans="1:7">
      <c r="A14" s="27" t="s">
        <v>49</v>
      </c>
      <c r="B14" s="28">
        <f>C14+D14</f>
        <v>1219258415.29</v>
      </c>
      <c r="C14" s="28">
        <f>C6+C9+C10+C12</f>
        <v>850300118.63</v>
      </c>
      <c r="D14" s="28">
        <f>D6+D10+D11+D12</f>
        <v>368958296.66</v>
      </c>
      <c r="E14" s="28">
        <f>F14+G14</f>
        <v>1186208946.77</v>
      </c>
      <c r="F14" s="28">
        <f>F6+F9+F10+F12</f>
        <v>809891112.67</v>
      </c>
      <c r="G14" s="28">
        <f>G6+G10+G11+G12</f>
        <v>376317834.1</v>
      </c>
    </row>
    <row r="15" ht="28.5" customHeight="true" spans="1:7">
      <c r="A15" s="27" t="s">
        <v>50</v>
      </c>
      <c r="B15" s="28">
        <f>C15+D15</f>
        <v>0</v>
      </c>
      <c r="C15" s="29">
        <v>0</v>
      </c>
      <c r="D15" s="29">
        <v>0</v>
      </c>
      <c r="E15" s="28">
        <f>F15+G15</f>
        <v>0</v>
      </c>
      <c r="F15" s="29">
        <v>0</v>
      </c>
      <c r="G15" s="29">
        <v>0</v>
      </c>
    </row>
    <row r="16" ht="28.5" customHeight="true" spans="1:7">
      <c r="A16" s="27" t="s">
        <v>51</v>
      </c>
      <c r="B16" s="28">
        <f>C16+D16</f>
        <v>0</v>
      </c>
      <c r="C16" s="29">
        <v>0</v>
      </c>
      <c r="D16" s="29">
        <v>0</v>
      </c>
      <c r="E16" s="28">
        <f>F16+G16</f>
        <v>0</v>
      </c>
      <c r="F16" s="29">
        <v>0</v>
      </c>
      <c r="G16" s="29">
        <v>0</v>
      </c>
    </row>
    <row r="17" ht="28.5" customHeight="true" spans="1:7">
      <c r="A17" s="27" t="s">
        <v>52</v>
      </c>
      <c r="B17" s="28">
        <f>C17+D17</f>
        <v>1219258415.29</v>
      </c>
      <c r="C17" s="28">
        <f>C14+C15+C16</f>
        <v>850300118.63</v>
      </c>
      <c r="D17" s="28">
        <f>D14+D15+D16</f>
        <v>368958296.66</v>
      </c>
      <c r="E17" s="28">
        <f>F17+G17</f>
        <v>1186208946.77</v>
      </c>
      <c r="F17" s="28">
        <f>F14+F15+F16</f>
        <v>809891112.67</v>
      </c>
      <c r="G17" s="28">
        <f>G14+G15+G16</f>
        <v>376317834.1</v>
      </c>
    </row>
  </sheetData>
  <mergeCells count="4">
    <mergeCell ref="A1:G1"/>
    <mergeCell ref="B4:D4"/>
    <mergeCell ref="E4:G4"/>
    <mergeCell ref="A4:A5"/>
  </mergeCells>
  <printOptions horizontalCentered="true"/>
  <pageMargins left="0.393700787401575" right="0.393700787401575" top="0.393700787401575" bottom="0.393700787401575" header="0.51181" footer="0.51181"/>
  <pageSetup paperSize="9" scale="54" pageOrder="overThenDown" orientation="landscape" errors="blank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showGridLines="0" workbookViewId="0">
      <pane topLeftCell="B5" activePane="bottomRight" state="frozen"/>
      <selection activeCell="B7" sqref="B7"/>
    </sheetView>
  </sheetViews>
  <sheetFormatPr defaultColWidth="8" defaultRowHeight="13.5" outlineLevelCol="2"/>
  <cols>
    <col min="1" max="1" width="50.375" style="1" customWidth="true"/>
    <col min="2" max="2" width="32" style="1" customWidth="true"/>
    <col min="3" max="3" width="31.375" style="1" customWidth="true"/>
  </cols>
  <sheetData>
    <row r="1" ht="48" customHeight="true" spans="1:3">
      <c r="A1" s="2" t="s">
        <v>62</v>
      </c>
      <c r="B1" s="3"/>
      <c r="C1" s="3"/>
    </row>
    <row r="2" ht="21" customHeight="true" spans="1:3">
      <c r="A2" s="4"/>
      <c r="B2" s="5"/>
      <c r="C2" s="6" t="s">
        <v>63</v>
      </c>
    </row>
    <row r="3" ht="21" customHeight="true" spans="1:3">
      <c r="A3" s="7" t="s">
        <v>2</v>
      </c>
      <c r="B3" s="7"/>
      <c r="C3" s="8" t="s">
        <v>3</v>
      </c>
    </row>
    <row r="4" ht="28.5" customHeight="true" spans="1:3">
      <c r="A4" s="9" t="s">
        <v>4</v>
      </c>
      <c r="B4" s="9" t="s">
        <v>21</v>
      </c>
      <c r="C4" s="9" t="s">
        <v>22</v>
      </c>
    </row>
    <row r="5" ht="28.5" customHeight="true" spans="1:3">
      <c r="A5" s="10" t="s">
        <v>58</v>
      </c>
      <c r="B5" s="11">
        <v>180927188</v>
      </c>
      <c r="C5" s="11">
        <v>190536552</v>
      </c>
    </row>
    <row r="6" ht="28.5" customHeight="true" spans="1:3">
      <c r="A6" s="10" t="s">
        <v>64</v>
      </c>
      <c r="B6" s="11">
        <v>0</v>
      </c>
      <c r="C6" s="11">
        <v>0</v>
      </c>
    </row>
    <row r="7" ht="28.5" customHeight="true" spans="1:3">
      <c r="A7" s="10" t="s">
        <v>65</v>
      </c>
      <c r="B7" s="11">
        <v>12490364</v>
      </c>
      <c r="C7" s="11">
        <v>13150152</v>
      </c>
    </row>
    <row r="8" ht="28.5" customHeight="true" spans="1:3">
      <c r="A8" s="10" t="s">
        <v>66</v>
      </c>
      <c r="B8" s="11">
        <v>43776</v>
      </c>
      <c r="C8" s="11">
        <v>46080</v>
      </c>
    </row>
    <row r="9" ht="28.5" customHeight="true" spans="1:3">
      <c r="A9" s="10" t="s">
        <v>28</v>
      </c>
      <c r="B9" s="11">
        <v>508003750</v>
      </c>
      <c r="C9" s="11">
        <v>333438700</v>
      </c>
    </row>
    <row r="10" ht="28.5" customHeight="true" spans="1:3">
      <c r="A10" s="12" t="s">
        <v>67</v>
      </c>
      <c r="B10" s="13">
        <v>319003750</v>
      </c>
      <c r="C10" s="13">
        <v>333438700</v>
      </c>
    </row>
    <row r="11" ht="28.5" customHeight="true" spans="1:3">
      <c r="A11" s="14" t="s">
        <v>45</v>
      </c>
      <c r="B11" s="15">
        <v>3537237.38</v>
      </c>
      <c r="C11" s="15">
        <v>1961600.69</v>
      </c>
    </row>
    <row r="12" ht="28.5" customHeight="true" spans="1:3">
      <c r="A12" s="10" t="s">
        <v>68</v>
      </c>
      <c r="B12" s="11">
        <v>7005394.92</v>
      </c>
      <c r="C12" s="11">
        <v>5714340.98</v>
      </c>
    </row>
    <row r="13" ht="28.5" customHeight="true" spans="1:3">
      <c r="A13" s="10" t="s">
        <v>69</v>
      </c>
      <c r="B13" s="16">
        <f>B5+B9+B11+B12</f>
        <v>699473570.3</v>
      </c>
      <c r="C13" s="16">
        <f>C5+C9+C11+C12</f>
        <v>531651193.67</v>
      </c>
    </row>
    <row r="14" ht="28.5" customHeight="true" spans="1:3">
      <c r="A14" s="10" t="s">
        <v>70</v>
      </c>
      <c r="B14" s="11">
        <v>0</v>
      </c>
      <c r="C14" s="11">
        <v>0</v>
      </c>
    </row>
    <row r="15" ht="28.5" customHeight="true" spans="1:3">
      <c r="A15" s="12" t="s">
        <v>71</v>
      </c>
      <c r="B15" s="11">
        <v>0</v>
      </c>
      <c r="C15" s="11">
        <v>0</v>
      </c>
    </row>
    <row r="16" ht="28.5" customHeight="true" spans="1:3">
      <c r="A16" s="17" t="s">
        <v>72</v>
      </c>
      <c r="B16" s="16">
        <f>B13+B14+B15</f>
        <v>699473570.3</v>
      </c>
      <c r="C16" s="16">
        <f>C13+C14+C15</f>
        <v>531651193.67</v>
      </c>
    </row>
    <row r="17" ht="28.5" customHeight="true" spans="1:3">
      <c r="A17" s="18"/>
      <c r="B17" s="19"/>
      <c r="C17" s="19"/>
    </row>
  </sheetData>
  <mergeCells count="1">
    <mergeCell ref="A1:C1"/>
  </mergeCells>
  <printOptions horizontalCentered="true"/>
  <pageMargins left="0.393700787401575" right="0.393700787401575" top="0.393700787401575" bottom="0.393700787401575" header="0.51181" footer="0.51181"/>
  <pageSetup paperSize="9" scale="80" pageOrder="overThenDown" orientation="landscape" errors="blank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社预01-收入预算总表</vt:lpstr>
      <vt:lpstr>社预03-城乡居民养老保险收入预算表</vt:lpstr>
      <vt:lpstr>社预04-机关事业单位养老保险收入预算表</vt:lpstr>
      <vt:lpstr>社预05-职工医疗保险收入预算表</vt:lpstr>
      <vt:lpstr>社预06-城乡居民医保收入预算表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uos</cp:lastModifiedBy>
  <dcterms:created xsi:type="dcterms:W3CDTF">2025-02-10T17:34:00Z</dcterms:created>
  <dcterms:modified xsi:type="dcterms:W3CDTF">2025-02-10T10:04:28Z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2052-11.8.2.10251</vt:lpwstr>
  </property>
</Properties>
</file>