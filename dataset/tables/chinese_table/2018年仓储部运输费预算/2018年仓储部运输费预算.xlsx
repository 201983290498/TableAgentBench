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20" windowWidth="19200" windowHeight="11610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9" i="2" l="1"/>
  <c r="D9" i="2"/>
  <c r="F13" i="2"/>
  <c r="J5" i="2"/>
  <c r="K5" i="2" s="1"/>
  <c r="J4" i="2"/>
  <c r="K4" i="2" s="1"/>
  <c r="K6" i="2" s="1"/>
  <c r="B6" i="2"/>
  <c r="E5" i="2"/>
  <c r="F5" i="2" s="1"/>
  <c r="G5" i="2" s="1"/>
  <c r="H5" i="2" s="1"/>
  <c r="E4" i="2"/>
  <c r="C5" i="2"/>
  <c r="D5" i="2" s="1"/>
  <c r="C4" i="2"/>
  <c r="D4" i="2" s="1"/>
  <c r="E6" i="2" l="1"/>
  <c r="J6" i="2"/>
  <c r="D6" i="2"/>
  <c r="F4" i="2"/>
  <c r="C6" i="2"/>
  <c r="G4" i="2" l="1"/>
  <c r="F6" i="2"/>
  <c r="G6" i="2" l="1"/>
  <c r="H4" i="2"/>
  <c r="H6" i="2" s="1"/>
</calcChain>
</file>

<file path=xl/sharedStrings.xml><?xml version="1.0" encoding="utf-8"?>
<sst xmlns="http://schemas.openxmlformats.org/spreadsheetml/2006/main" count="67" uniqueCount="62">
  <si>
    <t>科牧智能有限公司</t>
    <phoneticPr fontId="4" type="noConversion"/>
  </si>
  <si>
    <r>
      <t xml:space="preserve">             固定资产投资效益分析表 </t>
    </r>
    <r>
      <rPr>
        <b/>
        <sz val="16"/>
        <rFont val="宋体"/>
        <charset val="134"/>
      </rPr>
      <t xml:space="preserve"> </t>
    </r>
    <r>
      <rPr>
        <sz val="12"/>
        <rFont val="宋体"/>
        <charset val="134"/>
      </rPr>
      <t xml:space="preserve">       项目编号：</t>
    </r>
    <r>
      <rPr>
        <sz val="12"/>
        <rFont val="宋体"/>
        <charset val="134"/>
      </rPr>
      <t xml:space="preserve">
</t>
    </r>
    <phoneticPr fontId="4" type="noConversion"/>
  </si>
  <si>
    <t>需求部门</t>
    <phoneticPr fontId="4" type="noConversion"/>
  </si>
  <si>
    <t>申请人</t>
    <phoneticPr fontId="4" type="noConversion"/>
  </si>
  <si>
    <t>项目拟
投入时间</t>
    <phoneticPr fontId="4" type="noConversion"/>
  </si>
  <si>
    <t>项目描述</t>
  </si>
  <si>
    <t>项目背景</t>
  </si>
  <si>
    <t>现有资源</t>
  </si>
  <si>
    <t>新增配置</t>
    <phoneticPr fontId="4" type="noConversion"/>
  </si>
  <si>
    <t>投资回报分析</t>
  </si>
  <si>
    <t>①可预见性收入分析</t>
    <phoneticPr fontId="4" type="noConversion"/>
  </si>
  <si>
    <t>合理利用厂房立体高度，降低房租费用。</t>
    <phoneticPr fontId="4" type="noConversion"/>
  </si>
  <si>
    <t>②机会成本分析</t>
    <phoneticPr fontId="4" type="noConversion"/>
  </si>
  <si>
    <t>无风险</t>
    <phoneticPr fontId="4" type="noConversion"/>
  </si>
  <si>
    <t>③预估成本投入分析</t>
    <phoneticPr fontId="4" type="noConversion"/>
  </si>
  <si>
    <t>一次性投入长期使用，无贬值风险（固定资产模式）。</t>
    <phoneticPr fontId="4" type="noConversion"/>
  </si>
  <si>
    <t>④投资风险分析</t>
    <phoneticPr fontId="4" type="noConversion"/>
  </si>
  <si>
    <t>⑤预估收益分析=①-②-③-④</t>
    <phoneticPr fontId="4" type="noConversion"/>
  </si>
  <si>
    <t>部门意见</t>
  </si>
  <si>
    <t>主管意见</t>
  </si>
  <si>
    <t>分管副总意见</t>
    <phoneticPr fontId="4" type="noConversion"/>
  </si>
  <si>
    <t>其他部门意见</t>
  </si>
  <si>
    <t>根据需要确定</t>
    <phoneticPr fontId="4" type="noConversion"/>
  </si>
  <si>
    <t>财务部
意见</t>
    <phoneticPr fontId="4" type="noConversion"/>
  </si>
  <si>
    <t>审批意见</t>
  </si>
  <si>
    <t>表单编号：KM-FM-CW010004-01</t>
    <phoneticPr fontId="4" type="noConversion"/>
  </si>
  <si>
    <t>李宏春</t>
    <phoneticPr fontId="4" type="noConversion"/>
  </si>
  <si>
    <t>月</t>
    <phoneticPr fontId="1" type="noConversion"/>
  </si>
  <si>
    <t>合计</t>
    <phoneticPr fontId="1" type="noConversion"/>
  </si>
  <si>
    <t>淡季</t>
    <phoneticPr fontId="1" type="noConversion"/>
  </si>
  <si>
    <t>旺季</t>
    <phoneticPr fontId="1" type="noConversion"/>
  </si>
  <si>
    <t>产能（日）</t>
    <phoneticPr fontId="1" type="noConversion"/>
  </si>
  <si>
    <t>季节</t>
    <phoneticPr fontId="1" type="noConversion"/>
  </si>
  <si>
    <t>年</t>
    <phoneticPr fontId="1" type="noConversion"/>
  </si>
  <si>
    <t>日需求费用</t>
    <phoneticPr fontId="1" type="noConversion"/>
  </si>
  <si>
    <t>月费用</t>
    <phoneticPr fontId="1" type="noConversion"/>
  </si>
  <si>
    <t>日运转次数（80%）</t>
    <phoneticPr fontId="1" type="noConversion"/>
  </si>
  <si>
    <t>备注</t>
    <phoneticPr fontId="1" type="noConversion"/>
  </si>
  <si>
    <t>一厂仓库一体机调外租2018年预算需求费用含电商出货</t>
    <phoneticPr fontId="1" type="noConversion"/>
  </si>
  <si>
    <t>一体机调外租</t>
    <phoneticPr fontId="1" type="noConversion"/>
  </si>
  <si>
    <t>年综合费用</t>
    <phoneticPr fontId="1" type="noConversion"/>
  </si>
  <si>
    <t>电商出货</t>
    <phoneticPr fontId="1" type="noConversion"/>
  </si>
  <si>
    <t>月平均次数</t>
    <phoneticPr fontId="1" type="noConversion"/>
  </si>
  <si>
    <t>按七个月计算</t>
    <phoneticPr fontId="1" type="noConversion"/>
  </si>
  <si>
    <t>按四个月计算</t>
    <phoneticPr fontId="1" type="noConversion"/>
  </si>
  <si>
    <t>合计
（万元）</t>
    <phoneticPr fontId="1" type="noConversion"/>
  </si>
  <si>
    <t>17.5米板车购买费用</t>
    <phoneticPr fontId="1" type="noConversion"/>
  </si>
  <si>
    <t>购车费用</t>
    <phoneticPr fontId="1" type="noConversion"/>
  </si>
  <si>
    <t>维护保养（年）</t>
    <phoneticPr fontId="1" type="noConversion"/>
  </si>
  <si>
    <t>油费（年）</t>
    <phoneticPr fontId="1" type="noConversion"/>
  </si>
  <si>
    <t>人员薪资（年）</t>
    <phoneticPr fontId="1" type="noConversion"/>
  </si>
  <si>
    <t>保险费用（年）</t>
    <phoneticPr fontId="1" type="noConversion"/>
  </si>
  <si>
    <t>丽驰往返（公里）</t>
    <phoneticPr fontId="1" type="noConversion"/>
  </si>
  <si>
    <t>油费   （公里）</t>
    <phoneticPr fontId="1" type="noConversion"/>
  </si>
  <si>
    <t>电商金马
（公里）</t>
    <phoneticPr fontId="1" type="noConversion"/>
  </si>
  <si>
    <t>油费预算</t>
    <phoneticPr fontId="1" type="noConversion"/>
  </si>
  <si>
    <t>月累计公里数</t>
    <phoneticPr fontId="1" type="noConversion"/>
  </si>
  <si>
    <t>月往返次数</t>
    <phoneticPr fontId="1" type="noConversion"/>
  </si>
  <si>
    <t>费用</t>
    <phoneticPr fontId="1" type="noConversion"/>
  </si>
  <si>
    <t>仓储部</t>
    <phoneticPr fontId="4" type="noConversion"/>
  </si>
  <si>
    <t>仓储部9.6米货车请购</t>
    <phoneticPr fontId="4" type="noConversion"/>
  </si>
  <si>
    <r>
      <t>一厂仓库库存严重不足目前可用栈板位仅能满足分体机及感应产品，九牧品牌大批量出货集中在每个月底，导致每月前三周做库存需要空间周转，现一体机8</t>
    </r>
    <r>
      <rPr>
        <sz val="12"/>
        <rFont val="宋体"/>
        <family val="3"/>
        <charset val="134"/>
      </rPr>
      <t>0%转移至丽驰外租仓管理，平均每天需要转移100栈板成品到外租，高峰期出货从外租转移至厂内，考虑外叫17.5米车辆单趟费用要680元，综合预算（含电商出货）2108年运输费用达170万，为节约成本同时保证工作有序开展特申请购买一部9.6米货车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</si>
</sst>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2"/>
      <color theme="1"/>
      <name val="黑体"/>
      <family val="3"/>
      <charset val="134"/>
    </font>
    <font>
      <sz val="12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name val="宋体"/>
      <charset val="134"/>
    </font>
    <font>
      <i/>
      <sz val="12"/>
      <color rgb="FF3333FF"/>
      <name val="宋体"/>
      <charset val="134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left" vertical="center"/>
    </xf>
    <xf numFmtId="14" fontId="2" fillId="0" borderId="0" xfId="1" applyNumberFormat="1" applyFont="1">
      <alignment vertical="center"/>
    </xf>
    <xf numFmtId="0" fontId="2" fillId="0" borderId="0" xfId="1">
      <alignment vertical="center"/>
    </xf>
    <xf numFmtId="14" fontId="2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76" fontId="12" fillId="4" borderId="1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  <xf numFmtId="176" fontId="12" fillId="4" borderId="1" xfId="0" applyNumberFormat="1" applyFont="1" applyFill="1" applyBorder="1">
      <alignment vertical="center"/>
    </xf>
    <xf numFmtId="1" fontId="11" fillId="0" borderId="1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9" fillId="2" borderId="1" xfId="1" applyFont="1" applyFill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 textRotation="255" wrapText="1"/>
    </xf>
    <xf numFmtId="0" fontId="10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14" fontId="3" fillId="0" borderId="0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31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3">
    <cellStyle name="常规" xfId="0" builtinId="0"/>
    <cellStyle name="常规 24" xfId="1"/>
    <cellStyle name="常规 2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28575</xdr:rowOff>
    </xdr:from>
    <xdr:to>
      <xdr:col>1</xdr:col>
      <xdr:colOff>381000</xdr:colOff>
      <xdr:row>1</xdr:row>
      <xdr:rowOff>9525</xdr:rowOff>
    </xdr:to>
    <xdr:pic>
      <xdr:nvPicPr>
        <xdr:cNvPr id="2" name="图片 2" descr="未标题-1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28481" b="-19609"/>
        <a:stretch>
          <a:fillRect/>
        </a:stretch>
      </xdr:blipFill>
      <xdr:spPr bwMode="auto">
        <a:xfrm>
          <a:off x="47625" y="28575"/>
          <a:ext cx="1019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L5" sqref="L5"/>
    </sheetView>
  </sheetViews>
  <sheetFormatPr defaultRowHeight="13.5"/>
  <cols>
    <col min="10" max="10" width="11.625" bestFit="1" customWidth="1"/>
    <col min="13" max="19" width="9" style="8"/>
  </cols>
  <sheetData>
    <row r="1" spans="1:10" ht="29.25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35.25" customHeight="1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33.75" customHeight="1">
      <c r="A3" s="1" t="s">
        <v>2</v>
      </c>
      <c r="B3" s="44" t="s">
        <v>59</v>
      </c>
      <c r="C3" s="44"/>
      <c r="D3" s="45" t="s">
        <v>3</v>
      </c>
      <c r="E3" s="45"/>
      <c r="F3" s="46" t="s">
        <v>26</v>
      </c>
      <c r="G3" s="46"/>
      <c r="H3" s="47" t="s">
        <v>4</v>
      </c>
      <c r="I3" s="47"/>
      <c r="J3" s="7">
        <v>43205</v>
      </c>
    </row>
    <row r="4" spans="1:10" ht="39.75" customHeight="1">
      <c r="A4" s="2" t="s">
        <v>5</v>
      </c>
      <c r="B4" s="29" t="s">
        <v>60</v>
      </c>
      <c r="C4" s="29"/>
      <c r="D4" s="29"/>
      <c r="E4" s="29"/>
      <c r="F4" s="29"/>
      <c r="G4" s="29"/>
      <c r="H4" s="29"/>
      <c r="I4" s="29"/>
      <c r="J4" s="29"/>
    </row>
    <row r="5" spans="1:10" ht="120" customHeight="1">
      <c r="A5" s="2" t="s">
        <v>6</v>
      </c>
      <c r="B5" s="30" t="s">
        <v>61</v>
      </c>
      <c r="C5" s="29"/>
      <c r="D5" s="29"/>
      <c r="E5" s="29"/>
      <c r="F5" s="29"/>
      <c r="G5" s="29"/>
      <c r="H5" s="29"/>
      <c r="I5" s="29"/>
      <c r="J5" s="29"/>
    </row>
    <row r="6" spans="1:10" ht="44.25" customHeight="1">
      <c r="A6" s="2" t="s">
        <v>7</v>
      </c>
      <c r="B6" s="31" t="s">
        <v>8</v>
      </c>
      <c r="C6" s="32"/>
      <c r="D6" s="32"/>
      <c r="E6" s="32"/>
      <c r="F6" s="32"/>
      <c r="G6" s="32"/>
      <c r="H6" s="32"/>
      <c r="I6" s="32"/>
      <c r="J6" s="32"/>
    </row>
    <row r="7" spans="1:10" ht="31.5" customHeight="1">
      <c r="A7" s="25" t="s">
        <v>9</v>
      </c>
      <c r="B7" s="33" t="s">
        <v>10</v>
      </c>
      <c r="C7" s="33"/>
      <c r="D7" s="33"/>
      <c r="E7" s="34" t="s">
        <v>11</v>
      </c>
      <c r="F7" s="33"/>
      <c r="G7" s="33"/>
      <c r="H7" s="33"/>
      <c r="I7" s="33"/>
      <c r="J7" s="33"/>
    </row>
    <row r="8" spans="1:10" ht="30.75" customHeight="1">
      <c r="A8" s="25"/>
      <c r="B8" s="33" t="s">
        <v>12</v>
      </c>
      <c r="C8" s="33"/>
      <c r="D8" s="33"/>
      <c r="E8" s="35" t="s">
        <v>13</v>
      </c>
      <c r="F8" s="36"/>
      <c r="G8" s="36"/>
      <c r="H8" s="36"/>
      <c r="I8" s="36"/>
      <c r="J8" s="37"/>
    </row>
    <row r="9" spans="1:10" ht="25.5" customHeight="1">
      <c r="A9" s="25"/>
      <c r="B9" s="33" t="s">
        <v>14</v>
      </c>
      <c r="C9" s="33"/>
      <c r="D9" s="33"/>
      <c r="E9" s="38" t="s">
        <v>15</v>
      </c>
      <c r="F9" s="31"/>
      <c r="G9" s="31"/>
      <c r="H9" s="31"/>
      <c r="I9" s="31"/>
      <c r="J9" s="31"/>
    </row>
    <row r="10" spans="1:10" ht="14.25">
      <c r="A10" s="25"/>
      <c r="B10" s="33" t="s">
        <v>16</v>
      </c>
      <c r="C10" s="33"/>
      <c r="D10" s="33"/>
      <c r="E10" s="35" t="s">
        <v>13</v>
      </c>
      <c r="F10" s="36"/>
      <c r="G10" s="36"/>
      <c r="H10" s="36"/>
      <c r="I10" s="36"/>
      <c r="J10" s="37"/>
    </row>
    <row r="11" spans="1:10" ht="25.5" customHeight="1">
      <c r="A11" s="25"/>
      <c r="B11" s="39" t="s">
        <v>17</v>
      </c>
      <c r="C11" s="39"/>
      <c r="D11" s="39"/>
      <c r="E11" s="40"/>
      <c r="F11" s="39"/>
      <c r="G11" s="39"/>
      <c r="H11" s="39"/>
      <c r="I11" s="39"/>
      <c r="J11" s="39"/>
    </row>
    <row r="12" spans="1:10" ht="26.25" customHeight="1">
      <c r="A12" s="25" t="s">
        <v>18</v>
      </c>
      <c r="B12" s="27" t="s">
        <v>19</v>
      </c>
      <c r="C12" s="27"/>
      <c r="D12" s="27"/>
      <c r="E12" s="28"/>
      <c r="F12" s="29"/>
      <c r="G12" s="29"/>
      <c r="H12" s="29"/>
      <c r="I12" s="29"/>
      <c r="J12" s="29"/>
    </row>
    <row r="13" spans="1:10" ht="31.5" customHeight="1">
      <c r="A13" s="25"/>
      <c r="B13" s="27" t="s">
        <v>20</v>
      </c>
      <c r="C13" s="27"/>
      <c r="D13" s="27"/>
      <c r="E13" s="28"/>
      <c r="F13" s="29"/>
      <c r="G13" s="29"/>
      <c r="H13" s="29"/>
      <c r="I13" s="29"/>
      <c r="J13" s="29"/>
    </row>
    <row r="14" spans="1:10" ht="29.25" customHeight="1">
      <c r="A14" s="25" t="s">
        <v>21</v>
      </c>
      <c r="B14" s="26" t="s">
        <v>22</v>
      </c>
      <c r="C14" s="27"/>
      <c r="D14" s="27"/>
      <c r="E14" s="28"/>
      <c r="F14" s="29"/>
      <c r="G14" s="29"/>
      <c r="H14" s="29"/>
      <c r="I14" s="29"/>
      <c r="J14" s="29"/>
    </row>
    <row r="15" spans="1:10" ht="29.25" customHeight="1">
      <c r="A15" s="25"/>
      <c r="B15" s="26" t="s">
        <v>22</v>
      </c>
      <c r="C15" s="27"/>
      <c r="D15" s="27"/>
      <c r="E15" s="28"/>
      <c r="F15" s="29"/>
      <c r="G15" s="29"/>
      <c r="H15" s="29"/>
      <c r="I15" s="29"/>
      <c r="J15" s="29"/>
    </row>
    <row r="16" spans="1:10" ht="39" customHeight="1">
      <c r="A16" s="3" t="s">
        <v>23</v>
      </c>
      <c r="B16" s="24"/>
      <c r="C16" s="24"/>
      <c r="D16" s="24"/>
      <c r="E16" s="24"/>
      <c r="F16" s="24"/>
      <c r="G16" s="24"/>
      <c r="H16" s="24"/>
      <c r="I16" s="24"/>
      <c r="J16" s="24"/>
    </row>
    <row r="17" spans="1:10" ht="24" customHeight="1">
      <c r="A17" s="4" t="s">
        <v>24</v>
      </c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25">
      <c r="A18" s="5" t="s">
        <v>25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ht="14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4.25">
      <c r="B20" s="6"/>
      <c r="C20" s="6"/>
      <c r="D20" s="6"/>
      <c r="E20" s="6"/>
      <c r="F20" s="6"/>
      <c r="G20" s="6"/>
      <c r="H20" s="6"/>
      <c r="I20" s="6"/>
      <c r="J20" s="6"/>
    </row>
  </sheetData>
  <mergeCells count="32">
    <mergeCell ref="A1:J1"/>
    <mergeCell ref="A2:J2"/>
    <mergeCell ref="B3:C3"/>
    <mergeCell ref="D3:E3"/>
    <mergeCell ref="F3:G3"/>
    <mergeCell ref="H3:I3"/>
    <mergeCell ref="B4:J4"/>
    <mergeCell ref="B5:J5"/>
    <mergeCell ref="B6:J6"/>
    <mergeCell ref="A7:A11"/>
    <mergeCell ref="B7:D7"/>
    <mergeCell ref="E7:J7"/>
    <mergeCell ref="B8:D8"/>
    <mergeCell ref="E8:J8"/>
    <mergeCell ref="B9:D9"/>
    <mergeCell ref="E9:J9"/>
    <mergeCell ref="B10:D10"/>
    <mergeCell ref="E10:J10"/>
    <mergeCell ref="B11:D11"/>
    <mergeCell ref="E11:J11"/>
    <mergeCell ref="A12:A13"/>
    <mergeCell ref="B12:D12"/>
    <mergeCell ref="E12:J12"/>
    <mergeCell ref="B13:D13"/>
    <mergeCell ref="E13:J13"/>
    <mergeCell ref="B17:J17"/>
    <mergeCell ref="A14:A15"/>
    <mergeCell ref="B14:D14"/>
    <mergeCell ref="E14:J14"/>
    <mergeCell ref="B15:D15"/>
    <mergeCell ref="E15:J15"/>
    <mergeCell ref="B16:J16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A4" workbookViewId="0">
      <selection activeCell="K11" sqref="K11"/>
    </sheetView>
  </sheetViews>
  <sheetFormatPr defaultRowHeight="13.5"/>
  <cols>
    <col min="2" max="2" width="10.875" customWidth="1"/>
    <col min="3" max="3" width="8.875" customWidth="1"/>
    <col min="4" max="4" width="10" customWidth="1"/>
    <col min="5" max="5" width="16.375" customWidth="1"/>
    <col min="6" max="6" width="11.25" customWidth="1"/>
    <col min="7" max="7" width="9.5" customWidth="1"/>
    <col min="8" max="8" width="12" customWidth="1"/>
    <col min="9" max="9" width="9.5" customWidth="1"/>
    <col min="10" max="10" width="9.75" customWidth="1"/>
    <col min="11" max="11" width="9.25" style="8" customWidth="1"/>
    <col min="12" max="12" width="10" customWidth="1"/>
    <col min="13" max="13" width="13.125" customWidth="1"/>
  </cols>
  <sheetData>
    <row r="1" spans="1:13" ht="41.25" customHeight="1">
      <c r="A1" s="51" t="s">
        <v>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27" customHeight="1">
      <c r="A2" s="54" t="s">
        <v>39</v>
      </c>
      <c r="B2" s="54"/>
      <c r="C2" s="54"/>
      <c r="D2" s="54"/>
      <c r="E2" s="54"/>
      <c r="F2" s="54"/>
      <c r="G2" s="54"/>
      <c r="H2" s="54"/>
      <c r="I2" s="54" t="s">
        <v>41</v>
      </c>
      <c r="J2" s="54"/>
      <c r="K2" s="54"/>
      <c r="L2" s="48" t="s">
        <v>45</v>
      </c>
      <c r="M2" s="50" t="s">
        <v>37</v>
      </c>
    </row>
    <row r="3" spans="1:13" ht="30" customHeight="1">
      <c r="A3" s="9" t="s">
        <v>32</v>
      </c>
      <c r="B3" s="9" t="s">
        <v>31</v>
      </c>
      <c r="C3" s="9" t="s">
        <v>27</v>
      </c>
      <c r="D3" s="9" t="s">
        <v>33</v>
      </c>
      <c r="E3" s="9" t="s">
        <v>36</v>
      </c>
      <c r="F3" s="9" t="s">
        <v>34</v>
      </c>
      <c r="G3" s="9" t="s">
        <v>35</v>
      </c>
      <c r="H3" s="11" t="s">
        <v>40</v>
      </c>
      <c r="I3" s="11" t="s">
        <v>42</v>
      </c>
      <c r="J3" s="11" t="s">
        <v>35</v>
      </c>
      <c r="K3" s="11" t="s">
        <v>40</v>
      </c>
      <c r="L3" s="49"/>
      <c r="M3" s="50"/>
    </row>
    <row r="4" spans="1:13" ht="30" customHeight="1">
      <c r="A4" s="9" t="s">
        <v>29</v>
      </c>
      <c r="B4" s="9">
        <v>800</v>
      </c>
      <c r="C4" s="9">
        <f>B4*26</f>
        <v>20800</v>
      </c>
      <c r="D4" s="9">
        <f>C4*7</f>
        <v>145600</v>
      </c>
      <c r="E4" s="10">
        <f>(B4*0.8/132)</f>
        <v>4.8484848484848486</v>
      </c>
      <c r="F4" s="10">
        <f>E4*680</f>
        <v>3296.969696969697</v>
      </c>
      <c r="G4" s="10">
        <f>F4*26</f>
        <v>85721.212121212127</v>
      </c>
      <c r="H4" s="10">
        <f>G4*7</f>
        <v>600048.48484848486</v>
      </c>
      <c r="I4" s="9">
        <v>40</v>
      </c>
      <c r="J4" s="9">
        <f>I4*680</f>
        <v>27200</v>
      </c>
      <c r="K4" s="9">
        <f>J4*7</f>
        <v>190400</v>
      </c>
      <c r="L4" s="17">
        <v>79</v>
      </c>
      <c r="M4" s="13" t="s">
        <v>43</v>
      </c>
    </row>
    <row r="5" spans="1:13" ht="30" customHeight="1">
      <c r="A5" s="9" t="s">
        <v>30</v>
      </c>
      <c r="B5" s="9">
        <v>1000</v>
      </c>
      <c r="C5" s="9">
        <f>B5*26</f>
        <v>26000</v>
      </c>
      <c r="D5" s="9">
        <f>C5*4</f>
        <v>104000</v>
      </c>
      <c r="E5" s="10">
        <f>(B5*0.8/132)</f>
        <v>6.0606060606060606</v>
      </c>
      <c r="F5" s="10">
        <f>E5*680</f>
        <v>4121.212121212121</v>
      </c>
      <c r="G5" s="10">
        <f>F5*26</f>
        <v>107151.51515151515</v>
      </c>
      <c r="H5" s="10">
        <f>G5*7</f>
        <v>750060.60606060608</v>
      </c>
      <c r="I5" s="9">
        <v>60</v>
      </c>
      <c r="J5" s="9">
        <f>I5*680</f>
        <v>40800</v>
      </c>
      <c r="K5" s="9">
        <f>J5*4</f>
        <v>163200</v>
      </c>
      <c r="L5" s="17">
        <v>91.3</v>
      </c>
      <c r="M5" s="13" t="s">
        <v>44</v>
      </c>
    </row>
    <row r="6" spans="1:13" ht="30" customHeight="1">
      <c r="A6" s="9" t="s">
        <v>28</v>
      </c>
      <c r="B6" s="9">
        <f>SUM(B4:B5)</f>
        <v>1800</v>
      </c>
      <c r="C6" s="9">
        <f t="shared" ref="C6:H6" si="0">SUM(C4:C5)</f>
        <v>46800</v>
      </c>
      <c r="D6" s="9">
        <f t="shared" si="0"/>
        <v>249600</v>
      </c>
      <c r="E6" s="10">
        <f t="shared" si="0"/>
        <v>10.90909090909091</v>
      </c>
      <c r="F6" s="10">
        <f t="shared" si="0"/>
        <v>7418.181818181818</v>
      </c>
      <c r="G6" s="10">
        <f t="shared" si="0"/>
        <v>192872.72727272729</v>
      </c>
      <c r="H6" s="14">
        <f t="shared" si="0"/>
        <v>1350109.0909090908</v>
      </c>
      <c r="I6" s="12"/>
      <c r="J6" s="9">
        <f>SUM(J4:J5)</f>
        <v>68000</v>
      </c>
      <c r="K6" s="9">
        <f>SUM(K4:K5)</f>
        <v>353600</v>
      </c>
      <c r="L6" s="18">
        <v>170</v>
      </c>
      <c r="M6" s="16"/>
    </row>
    <row r="7" spans="1:13" ht="27" customHeight="1">
      <c r="A7" s="52" t="s">
        <v>46</v>
      </c>
      <c r="B7" s="52"/>
      <c r="C7" s="52"/>
      <c r="D7" s="52"/>
      <c r="E7" s="52"/>
      <c r="F7" s="52"/>
      <c r="G7" s="53"/>
      <c r="L7" s="15"/>
    </row>
    <row r="8" spans="1:13" s="21" customFormat="1" ht="30" customHeight="1">
      <c r="A8" s="19" t="s">
        <v>47</v>
      </c>
      <c r="B8" s="19" t="s">
        <v>51</v>
      </c>
      <c r="C8" s="19" t="s">
        <v>48</v>
      </c>
      <c r="D8" s="19" t="s">
        <v>49</v>
      </c>
      <c r="E8" s="19" t="s">
        <v>50</v>
      </c>
      <c r="F8" s="19" t="s">
        <v>45</v>
      </c>
      <c r="G8" s="20"/>
      <c r="J8" s="22"/>
    </row>
    <row r="9" spans="1:13" ht="29.25" customHeight="1">
      <c r="A9" s="9">
        <v>500000</v>
      </c>
      <c r="B9" s="9">
        <v>20000</v>
      </c>
      <c r="C9" s="9">
        <v>20000</v>
      </c>
      <c r="D9" s="9">
        <f>F13*11</f>
        <v>26598</v>
      </c>
      <c r="E9" s="9">
        <v>120000</v>
      </c>
      <c r="F9" s="17">
        <f>SUM(A9:E9)</f>
        <v>686598</v>
      </c>
      <c r="J9" s="8"/>
      <c r="K9"/>
    </row>
    <row r="11" spans="1:13" ht="27" customHeight="1">
      <c r="A11" s="52" t="s">
        <v>55</v>
      </c>
      <c r="B11" s="52"/>
      <c r="C11" s="52"/>
      <c r="D11" s="52"/>
      <c r="E11" s="52"/>
      <c r="F11" s="52"/>
      <c r="G11" s="23"/>
      <c r="L11" s="15"/>
    </row>
    <row r="12" spans="1:13" s="22" customFormat="1" ht="31.5" customHeight="1">
      <c r="A12" s="19" t="s">
        <v>52</v>
      </c>
      <c r="B12" s="19" t="s">
        <v>54</v>
      </c>
      <c r="C12" s="19" t="s">
        <v>53</v>
      </c>
      <c r="D12" s="19" t="s">
        <v>56</v>
      </c>
      <c r="E12" s="19" t="s">
        <v>57</v>
      </c>
      <c r="F12" s="19" t="s">
        <v>58</v>
      </c>
    </row>
    <row r="13" spans="1:13" s="8" customFormat="1" ht="32.25" customHeight="1">
      <c r="A13" s="9">
        <v>3</v>
      </c>
      <c r="B13" s="9">
        <v>8</v>
      </c>
      <c r="C13" s="9">
        <v>3</v>
      </c>
      <c r="D13" s="9">
        <v>806</v>
      </c>
      <c r="E13" s="9">
        <v>182</v>
      </c>
      <c r="F13" s="9">
        <f>D13*C13</f>
        <v>2418</v>
      </c>
    </row>
  </sheetData>
  <mergeCells count="7">
    <mergeCell ref="L2:L3"/>
    <mergeCell ref="M2:M3"/>
    <mergeCell ref="A1:M1"/>
    <mergeCell ref="A11:F11"/>
    <mergeCell ref="A7:G7"/>
    <mergeCell ref="A2:H2"/>
    <mergeCell ref="I2:K2"/>
  </mergeCells>
  <phoneticPr fontId="1" type="noConversion"/>
  <pageMargins left="0.55118110236220474" right="0.15748031496062992" top="0.15748031496062992" bottom="0.15748031496062992" header="0.15748031496062992" footer="0.15748031496062992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2018-03-16T08:11:30Z</dcterms:modified>
</cp:coreProperties>
</file>