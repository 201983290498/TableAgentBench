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8"/>
  <workbookPr filterPrivacy="1" defaultThemeVersion="124226"/>
  <xr:revisionPtr revIDLastSave="0" documentId="13_ncr:1_{12A91946-E532-1540-B15D-11946097C7F3}" xr6:coauthVersionLast="47" xr6:coauthVersionMax="47" xr10:uidLastSave="{00000000-0000-0000-0000-000000000000}"/>
  <bookViews>
    <workbookView minimized="1" xWindow="10820" yWindow="760" windowWidth="15360" windowHeight="1436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1" l="1"/>
  <c r="I15" i="1"/>
  <c r="I13" i="1"/>
  <c r="J13" i="1" s="1"/>
  <c r="I11" i="1"/>
  <c r="I10" i="1"/>
  <c r="J10" i="1" s="1"/>
  <c r="I17" i="1"/>
  <c r="I16" i="1"/>
  <c r="J16" i="1" l="1"/>
  <c r="I3" i="1"/>
  <c r="I9" i="1"/>
  <c r="I8" i="1"/>
  <c r="J8" i="1" l="1"/>
  <c r="E27" i="2" l="1"/>
  <c r="E26" i="2"/>
  <c r="E29" i="2" s="1"/>
  <c r="C21" i="2"/>
  <c r="N20" i="2"/>
  <c r="E20" i="2"/>
  <c r="P19" i="2"/>
  <c r="E19" i="2"/>
  <c r="P18" i="2"/>
  <c r="E18" i="2"/>
  <c r="P17" i="2"/>
  <c r="P20" i="2" s="1"/>
  <c r="E17" i="2"/>
  <c r="E21" i="2" s="1"/>
  <c r="C12" i="2"/>
  <c r="C11" i="2"/>
  <c r="C10" i="2"/>
  <c r="C13" i="2" s="1"/>
  <c r="O7" i="2"/>
  <c r="L7" i="2"/>
  <c r="I7" i="2"/>
  <c r="F7" i="2"/>
  <c r="C7" i="2"/>
  <c r="Q6" i="2"/>
  <c r="N6" i="2"/>
  <c r="K6" i="2"/>
  <c r="K7" i="2" s="1"/>
  <c r="H6" i="2"/>
  <c r="E6" i="2"/>
  <c r="Q5" i="2"/>
  <c r="N5" i="2"/>
  <c r="K5" i="2"/>
  <c r="H5" i="2"/>
  <c r="E5" i="2"/>
  <c r="D11" i="2" s="1"/>
  <c r="Q4" i="2"/>
  <c r="N4" i="2"/>
  <c r="K4" i="2"/>
  <c r="H4" i="2"/>
  <c r="E4" i="2"/>
  <c r="D10" i="2" s="1"/>
  <c r="H7" i="2" l="1"/>
  <c r="Q7" i="2"/>
  <c r="N7" i="2"/>
  <c r="D12" i="2"/>
  <c r="D13" i="2"/>
  <c r="E7" i="2"/>
  <c r="I7" i="1"/>
  <c r="I6" i="1"/>
  <c r="J6" i="1" l="1"/>
</calcChain>
</file>

<file path=xl/sharedStrings.xml><?xml version="1.0" encoding="utf-8"?>
<sst xmlns="http://schemas.openxmlformats.org/spreadsheetml/2006/main" count="150" uniqueCount="98">
  <si>
    <t>序号</t>
    <phoneticPr fontId="2" type="noConversion"/>
  </si>
  <si>
    <t>送货单位</t>
    <phoneticPr fontId="2" type="noConversion"/>
  </si>
  <si>
    <t>送货地址</t>
    <phoneticPr fontId="2" type="noConversion"/>
  </si>
  <si>
    <t>产品名称</t>
    <phoneticPr fontId="2" type="noConversion"/>
  </si>
  <si>
    <t>规格型号</t>
    <phoneticPr fontId="2" type="noConversion"/>
  </si>
  <si>
    <t>数量（次）</t>
    <phoneticPr fontId="2" type="noConversion"/>
  </si>
  <si>
    <t>单价</t>
    <phoneticPr fontId="2" type="noConversion"/>
  </si>
  <si>
    <t>金额</t>
    <phoneticPr fontId="2" type="noConversion"/>
  </si>
  <si>
    <t>是否开票</t>
    <phoneticPr fontId="2" type="noConversion"/>
  </si>
  <si>
    <t>是否回款</t>
    <phoneticPr fontId="2" type="noConversion"/>
  </si>
  <si>
    <t>联系人</t>
    <phoneticPr fontId="2" type="noConversion"/>
  </si>
  <si>
    <t>联系电话</t>
    <phoneticPr fontId="2" type="noConversion"/>
  </si>
  <si>
    <t>猪瘟病毒抗体金标检测卡</t>
    <phoneticPr fontId="2" type="noConversion"/>
  </si>
  <si>
    <t>猪口蹄疫抗体金标检测卡</t>
    <phoneticPr fontId="2" type="noConversion"/>
  </si>
  <si>
    <t>莱克多巴胺检测卡(5ppb)</t>
    <phoneticPr fontId="2" type="noConversion"/>
  </si>
  <si>
    <t>瘦肉精三联卡(3/5/5)ppb</t>
    <phoneticPr fontId="2" type="noConversion"/>
  </si>
  <si>
    <t>沙丁胺醇检测卡(5ppb)</t>
    <phoneticPr fontId="1" type="noConversion"/>
  </si>
  <si>
    <t>三聚氰胺（液态奶）检测卡</t>
    <phoneticPr fontId="1" type="noConversion"/>
  </si>
  <si>
    <t>20次/盒</t>
    <phoneticPr fontId="1" type="noConversion"/>
  </si>
  <si>
    <t>成都赣能科技发展有限公司2013年送货明细表</t>
    <phoneticPr fontId="2" type="noConversion"/>
  </si>
  <si>
    <t>备注</t>
    <phoneticPr fontId="1" type="noConversion"/>
  </si>
  <si>
    <t>张兰</t>
    <phoneticPr fontId="1" type="noConversion"/>
  </si>
  <si>
    <t>发货时间</t>
    <phoneticPr fontId="2" type="noConversion"/>
  </si>
  <si>
    <t>总价</t>
    <phoneticPr fontId="1" type="noConversion"/>
  </si>
  <si>
    <t>禽流感检测卡</t>
    <phoneticPr fontId="1" type="noConversion"/>
  </si>
  <si>
    <t>β兴奋剂类(五合一1型)胶体金法检测卡</t>
    <phoneticPr fontId="1" type="noConversion"/>
  </si>
  <si>
    <t>β兴奋剂类(五合一2型)胶体金法检测卡</t>
    <phoneticPr fontId="1" type="noConversion"/>
  </si>
  <si>
    <t>盐酸克伦特罗检测卡(3ppb)</t>
    <phoneticPr fontId="2" type="noConversion"/>
  </si>
  <si>
    <t>三聚氰胺（液态奶）检测卡</t>
    <phoneticPr fontId="1" type="noConversion"/>
  </si>
  <si>
    <t>宜宾其它区县瘦肉精检测卡</t>
    <phoneticPr fontId="1" type="noConversion"/>
  </si>
  <si>
    <t>长宁县</t>
    <phoneticPr fontId="1" type="noConversion"/>
  </si>
  <si>
    <t>高县</t>
    <phoneticPr fontId="1" type="noConversion"/>
  </si>
  <si>
    <t>珙县</t>
    <phoneticPr fontId="1" type="noConversion"/>
  </si>
  <si>
    <t>南溪区</t>
    <phoneticPr fontId="1" type="noConversion"/>
  </si>
  <si>
    <t>筠连县</t>
    <phoneticPr fontId="1" type="noConversion"/>
  </si>
  <si>
    <t>序号</t>
    <phoneticPr fontId="1" type="noConversion"/>
  </si>
  <si>
    <t>名称</t>
    <phoneticPr fontId="1" type="noConversion"/>
  </si>
  <si>
    <t>数量</t>
    <phoneticPr fontId="1" type="noConversion"/>
  </si>
  <si>
    <t>单价</t>
    <phoneticPr fontId="1" type="noConversion"/>
  </si>
  <si>
    <t>合计</t>
    <phoneticPr fontId="1" type="noConversion"/>
  </si>
  <si>
    <t>汇总</t>
    <phoneticPr fontId="1" type="noConversion"/>
  </si>
  <si>
    <t>总计</t>
    <phoneticPr fontId="1" type="noConversion"/>
  </si>
  <si>
    <t>南溪区畜牧兽医局</t>
  </si>
  <si>
    <t>翠屏区农牧局</t>
  </si>
  <si>
    <t xml:space="preserve">猪蓝耳病病毒抗体金标检测卡 </t>
    <phoneticPr fontId="2" type="noConversion"/>
  </si>
  <si>
    <t>黄曲霉毒素M1检测卡</t>
    <phoneticPr fontId="1" type="noConversion"/>
  </si>
  <si>
    <t>猪尿采集器</t>
    <phoneticPr fontId="1" type="noConversion"/>
  </si>
  <si>
    <t>10根</t>
    <phoneticPr fontId="1" type="noConversion"/>
  </si>
  <si>
    <t>2014.4.4</t>
    <phoneticPr fontId="1" type="noConversion"/>
  </si>
  <si>
    <t>翠屏区农牧局</t>
    <phoneticPr fontId="1" type="noConversion"/>
  </si>
  <si>
    <t>宜宾市翠屏区金鱼街20号</t>
    <phoneticPr fontId="1" type="noConversion"/>
  </si>
  <si>
    <t>是</t>
    <phoneticPr fontId="1" type="noConversion"/>
  </si>
  <si>
    <t>北川羌族自治县畜牧兽医局</t>
    <phoneticPr fontId="1" type="noConversion"/>
  </si>
  <si>
    <t>北川羌族自治县永昌镇龙藏</t>
    <phoneticPr fontId="1" type="noConversion"/>
  </si>
  <si>
    <t>张俊</t>
    <phoneticPr fontId="1" type="noConversion"/>
  </si>
  <si>
    <t>β兴奋剂类(五合一1型)胶体金法检测卡</t>
    <phoneticPr fontId="1" type="noConversion"/>
  </si>
  <si>
    <t>50次/盒</t>
    <phoneticPr fontId="2" type="noConversion"/>
  </si>
  <si>
    <t>β兴奋剂类(五合一2型)胶体金法检测卡</t>
    <phoneticPr fontId="1" type="noConversion"/>
  </si>
  <si>
    <t>德阳散户</t>
    <phoneticPr fontId="1" type="noConversion"/>
  </si>
  <si>
    <t>盐酸克伦特罗检测卡(3ppb)</t>
    <phoneticPr fontId="2" type="noConversion"/>
  </si>
  <si>
    <t xml:space="preserve">不开票 </t>
    <phoneticPr fontId="1" type="noConversion"/>
  </si>
  <si>
    <t>莱克多巴胺检测卡(5ppb)</t>
    <phoneticPr fontId="2" type="noConversion"/>
  </si>
  <si>
    <t>沙丁胺醇检测卡(5ppb)</t>
    <phoneticPr fontId="1" type="noConversion"/>
  </si>
  <si>
    <t>李国</t>
    <phoneticPr fontId="1" type="noConversion"/>
  </si>
  <si>
    <t>2014.4.7</t>
    <phoneticPr fontId="1" type="noConversion"/>
  </si>
  <si>
    <t>绵阳市畜牧兽医局</t>
    <phoneticPr fontId="1" type="noConversion"/>
  </si>
  <si>
    <t>建设路6号</t>
    <phoneticPr fontId="1" type="noConversion"/>
  </si>
  <si>
    <t>三聚氰胺（饲料卡）检测卡</t>
    <phoneticPr fontId="1" type="noConversion"/>
  </si>
  <si>
    <t>2ppm</t>
    <phoneticPr fontId="1" type="noConversion"/>
  </si>
  <si>
    <t>刘伟</t>
    <phoneticPr fontId="1" type="noConversion"/>
  </si>
  <si>
    <t>2014.4.8</t>
    <phoneticPr fontId="1" type="noConversion"/>
  </si>
  <si>
    <t>三台畜牧兽医局</t>
    <phoneticPr fontId="1" type="noConversion"/>
  </si>
  <si>
    <t>三台县北坝镇科鑫路</t>
    <phoneticPr fontId="1" type="noConversion"/>
  </si>
  <si>
    <t>童庆文</t>
    <phoneticPr fontId="1" type="noConversion"/>
  </si>
  <si>
    <t>2014.4.11</t>
    <phoneticPr fontId="1" type="noConversion"/>
  </si>
  <si>
    <t>德阳市八角井镇双圣屠宰点</t>
    <phoneticPr fontId="1" type="noConversion"/>
  </si>
  <si>
    <t>2013.2.24</t>
    <phoneticPr fontId="1" type="noConversion"/>
  </si>
  <si>
    <t>2014.4.11开票</t>
  </si>
  <si>
    <t>2014.4.11开票</t>
    <phoneticPr fontId="1" type="noConversion"/>
  </si>
  <si>
    <t>2014.4.11开票</t>
    <phoneticPr fontId="1" type="noConversion"/>
  </si>
  <si>
    <t>2014.4.21</t>
    <phoneticPr fontId="1" type="noConversion"/>
  </si>
  <si>
    <t>2014.4.21开票</t>
    <phoneticPr fontId="1" type="noConversion"/>
  </si>
  <si>
    <t>逗点开票</t>
    <phoneticPr fontId="1" type="noConversion"/>
  </si>
  <si>
    <t>振扬开票</t>
    <phoneticPr fontId="1" type="noConversion"/>
  </si>
  <si>
    <t>已回款</t>
    <phoneticPr fontId="1" type="noConversion"/>
  </si>
  <si>
    <t>绵阳安县农畜产品质量安全检测站</t>
    <phoneticPr fontId="1" type="noConversion"/>
  </si>
  <si>
    <t>安县花荄建安路</t>
    <phoneticPr fontId="1" type="noConversion"/>
  </si>
  <si>
    <t>唐小梅</t>
    <phoneticPr fontId="1" type="noConversion"/>
  </si>
  <si>
    <t xml:space="preserve">13340880433
</t>
    <phoneticPr fontId="1" type="noConversion"/>
  </si>
  <si>
    <t>2014.4.9</t>
    <phoneticPr fontId="1" type="noConversion"/>
  </si>
  <si>
    <t>盐酸克伦特罗试剂盒</t>
    <phoneticPr fontId="1" type="noConversion"/>
  </si>
  <si>
    <t>0.1ppb</t>
    <phoneticPr fontId="1" type="noConversion"/>
  </si>
  <si>
    <t xml:space="preserve">0.02pp </t>
  </si>
  <si>
    <t>0.05ppb</t>
  </si>
  <si>
    <t xml:space="preserve">四环素试剂盒       </t>
    <phoneticPr fontId="12" type="noConversion"/>
  </si>
  <si>
    <t xml:space="preserve">氯霉素试剂盒   </t>
    <phoneticPr fontId="12" type="noConversion"/>
  </si>
  <si>
    <t>逗点开票</t>
    <phoneticPr fontId="1" type="noConversion"/>
  </si>
  <si>
    <t>2014.4.9  开票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</si>
</sst>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;[Red]0.00"/>
    <numFmt numFmtId="177" formatCode="0.00_ "/>
  </numFmts>
  <fonts count="14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name val="宋体"/>
      <family val="2"/>
      <charset val="134"/>
      <scheme val="minor"/>
    </font>
    <font>
      <sz val="11"/>
      <name val="宋体"/>
      <family val="3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b/>
      <sz val="16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12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6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</cellStyleXfs>
  <cellXfs count="98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76" fontId="0" fillId="2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177" fontId="0" fillId="3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6" borderId="4" xfId="2" applyFont="1" applyBorder="1" applyAlignment="1">
      <alignment horizontal="center" vertical="center"/>
    </xf>
    <xf numFmtId="0" fontId="7" fillId="6" borderId="1" xfId="2" applyFont="1" applyBorder="1" applyAlignment="1">
      <alignment horizontal="center" vertical="center"/>
    </xf>
    <xf numFmtId="0" fontId="7" fillId="5" borderId="1" xfId="1" applyFont="1" applyBorder="1" applyAlignment="1">
      <alignment horizontal="center" vertical="center"/>
    </xf>
    <xf numFmtId="0" fontId="7" fillId="7" borderId="1" xfId="3" applyFont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7" fillId="6" borderId="4" xfId="2" applyFont="1" applyBorder="1" applyAlignment="1">
      <alignment horizontal="center" vertical="center" wrapText="1"/>
    </xf>
    <xf numFmtId="176" fontId="7" fillId="6" borderId="1" xfId="2" applyNumberFormat="1" applyFont="1" applyBorder="1" applyAlignment="1">
      <alignment horizontal="center" vertical="center" wrapText="1"/>
    </xf>
    <xf numFmtId="176" fontId="7" fillId="5" borderId="1" xfId="1" applyNumberFormat="1" applyFont="1" applyBorder="1" applyAlignment="1">
      <alignment horizontal="center" vertical="center" wrapText="1"/>
    </xf>
    <xf numFmtId="0" fontId="7" fillId="7" borderId="1" xfId="3" applyFont="1" applyBorder="1" applyAlignment="1">
      <alignment horizontal="center" vertical="center" wrapText="1"/>
    </xf>
    <xf numFmtId="177" fontId="7" fillId="7" borderId="1" xfId="3" applyNumberFormat="1" applyFont="1" applyBorder="1" applyAlignment="1">
      <alignment horizontal="center" vertical="center" wrapText="1"/>
    </xf>
    <xf numFmtId="0" fontId="7" fillId="8" borderId="1" xfId="3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 wrapText="1"/>
    </xf>
    <xf numFmtId="176" fontId="0" fillId="9" borderId="1" xfId="0" applyNumberFormat="1" applyFill="1" applyBorder="1" applyAlignment="1">
      <alignment horizontal="center" vertical="center" wrapText="1"/>
    </xf>
    <xf numFmtId="0" fontId="7" fillId="4" borderId="1" xfId="2" applyFont="1" applyFill="1" applyBorder="1" applyAlignment="1">
      <alignment horizontal="center" vertical="center"/>
    </xf>
    <xf numFmtId="0" fontId="7" fillId="5" borderId="1" xfId="1" applyFont="1" applyBorder="1" applyAlignment="1">
      <alignment horizontal="center" vertical="center" wrapText="1"/>
    </xf>
    <xf numFmtId="0" fontId="7" fillId="4" borderId="1" xfId="1" applyFont="1" applyFill="1" applyBorder="1" applyAlignment="1">
      <alignment horizontal="center" vertical="center"/>
    </xf>
    <xf numFmtId="176" fontId="7" fillId="7" borderId="1" xfId="3" applyNumberFormat="1" applyFont="1" applyBorder="1" applyAlignment="1">
      <alignment horizontal="center" vertical="center" wrapText="1"/>
    </xf>
    <xf numFmtId="0" fontId="7" fillId="4" borderId="1" xfId="3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176" fontId="0" fillId="8" borderId="1" xfId="0" applyNumberForma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7" fillId="11" borderId="1" xfId="2" applyFont="1" applyFill="1" applyBorder="1" applyAlignment="1">
      <alignment horizontal="center" vertical="center"/>
    </xf>
    <xf numFmtId="0" fontId="7" fillId="12" borderId="1" xfId="2" applyFont="1" applyFill="1" applyBorder="1" applyAlignment="1">
      <alignment horizontal="center" vertical="center"/>
    </xf>
    <xf numFmtId="0" fontId="0" fillId="11" borderId="1" xfId="0" applyFill="1" applyBorder="1" applyAlignment="1">
      <alignment horizontal="left" vertical="center" wrapText="1"/>
    </xf>
    <xf numFmtId="0" fontId="0" fillId="11" borderId="1" xfId="0" applyFill="1" applyBorder="1" applyAlignment="1">
      <alignment horizontal="center" vertical="center" wrapText="1"/>
    </xf>
    <xf numFmtId="177" fontId="0" fillId="11" borderId="1" xfId="0" applyNumberForma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176" fontId="0" fillId="12" borderId="1" xfId="0" applyNumberFormat="1" applyFill="1" applyBorder="1" applyAlignment="1">
      <alignment horizontal="center" vertical="center" wrapText="1"/>
    </xf>
    <xf numFmtId="176" fontId="0" fillId="10" borderId="1" xfId="0" applyNumberFormat="1" applyFill="1" applyBorder="1" applyAlignment="1">
      <alignment horizontal="center" vertical="center"/>
    </xf>
    <xf numFmtId="177" fontId="0" fillId="10" borderId="1" xfId="0" applyNumberFormat="1" applyFill="1" applyBorder="1" applyAlignment="1">
      <alignment horizontal="center" vertical="center"/>
    </xf>
    <xf numFmtId="0" fontId="7" fillId="3" borderId="1" xfId="2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177" fontId="0" fillId="3" borderId="1" xfId="0" applyNumberFormat="1" applyFill="1" applyBorder="1" applyAlignment="1">
      <alignment horizontal="center" vertical="center"/>
    </xf>
    <xf numFmtId="177" fontId="0" fillId="2" borderId="1" xfId="0" applyNumberForma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76" fontId="0" fillId="0" borderId="1" xfId="0" applyNumberFormat="1" applyBorder="1" applyAlignment="1">
      <alignment horizontal="center" vertical="center" wrapText="1"/>
    </xf>
    <xf numFmtId="177" fontId="0" fillId="0" borderId="1" xfId="0" applyNumberForma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76" fontId="0" fillId="0" borderId="7" xfId="0" applyNumberFormat="1" applyBorder="1" applyAlignment="1">
      <alignment horizontal="center" vertical="center" wrapText="1"/>
    </xf>
    <xf numFmtId="176" fontId="0" fillId="0" borderId="8" xfId="0" applyNumberForma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76" fontId="0" fillId="2" borderId="1" xfId="0" applyNumberForma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177" fontId="0" fillId="2" borderId="7" xfId="0" applyNumberFormat="1" applyFill="1" applyBorder="1" applyAlignment="1">
      <alignment horizontal="center" vertical="center" wrapText="1"/>
    </xf>
    <xf numFmtId="177" fontId="0" fillId="2" borderId="9" xfId="0" applyNumberFormat="1" applyFill="1" applyBorder="1" applyAlignment="1">
      <alignment horizontal="center" vertical="center" wrapText="1"/>
    </xf>
    <xf numFmtId="177" fontId="0" fillId="2" borderId="8" xfId="0" applyNumberForma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177" fontId="0" fillId="0" borderId="1" xfId="0" applyNumberFormat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12" borderId="5" xfId="0" applyFill="1" applyBorder="1" applyAlignment="1">
      <alignment horizontal="center" vertical="center"/>
    </xf>
    <xf numFmtId="0" fontId="0" fillId="12" borderId="6" xfId="0" applyFill="1" applyBorder="1" applyAlignment="1">
      <alignment horizontal="center" vertical="center"/>
    </xf>
    <xf numFmtId="0" fontId="0" fillId="12" borderId="4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1" fillId="11" borderId="5" xfId="0" applyFont="1" applyFill="1" applyBorder="1" applyAlignment="1">
      <alignment horizontal="center" vertical="center"/>
    </xf>
    <xf numFmtId="0" fontId="11" fillId="11" borderId="6" xfId="0" applyFont="1" applyFill="1" applyBorder="1" applyAlignment="1">
      <alignment horizontal="center" vertical="center"/>
    </xf>
    <xf numFmtId="0" fontId="11" fillId="11" borderId="4" xfId="0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6" fillId="6" borderId="4" xfId="2" applyFont="1" applyBorder="1" applyAlignment="1">
      <alignment horizontal="center" vertical="center"/>
    </xf>
    <xf numFmtId="0" fontId="7" fillId="6" borderId="1" xfId="2" applyFont="1" applyBorder="1" applyAlignment="1">
      <alignment horizontal="center" vertical="center"/>
    </xf>
    <xf numFmtId="0" fontId="6" fillId="5" borderId="1" xfId="1" applyFont="1" applyBorder="1" applyAlignment="1">
      <alignment horizontal="center" vertical="center"/>
    </xf>
    <xf numFmtId="0" fontId="7" fillId="5" borderId="1" xfId="1" applyFont="1" applyBorder="1" applyAlignment="1">
      <alignment horizontal="center" vertical="center"/>
    </xf>
    <xf numFmtId="0" fontId="6" fillId="7" borderId="1" xfId="3" applyFont="1" applyBorder="1" applyAlignment="1">
      <alignment horizontal="center" vertical="center"/>
    </xf>
    <xf numFmtId="0" fontId="7" fillId="7" borderId="1" xfId="3" applyFont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</cellXfs>
  <cellStyles count="4">
    <cellStyle name="差" xfId="2" builtinId="27"/>
    <cellStyle name="常规" xfId="0" builtinId="0"/>
    <cellStyle name="好" xfId="1" builtinId="26"/>
    <cellStyle name="适中" xfId="3" builtinId="2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O3" sqref="O3:O5"/>
    </sheetView>
  </sheetViews>
  <sheetFormatPr baseColWidth="10" defaultColWidth="9" defaultRowHeight="18" customHeight="1"/>
  <cols>
    <col min="1" max="1" width="5.6640625" style="3" customWidth="1"/>
    <col min="2" max="2" width="9.1640625" style="3" customWidth="1"/>
    <col min="3" max="3" width="9.6640625" style="3" customWidth="1"/>
    <col min="4" max="4" width="10.83203125" style="3" customWidth="1"/>
    <col min="5" max="5" width="25" style="3" customWidth="1"/>
    <col min="6" max="6" width="10.33203125" style="3" customWidth="1"/>
    <col min="7" max="7" width="7.6640625" style="3" customWidth="1"/>
    <col min="8" max="8" width="9.33203125" style="3" customWidth="1"/>
    <col min="9" max="9" width="11.83203125" style="3" customWidth="1"/>
    <col min="10" max="10" width="12" style="3" customWidth="1"/>
    <col min="11" max="11" width="11.1640625" style="3" customWidth="1"/>
    <col min="12" max="12" width="4.83203125" style="3" customWidth="1"/>
    <col min="13" max="13" width="7" style="3" customWidth="1"/>
    <col min="14" max="14" width="12.6640625" style="3" bestFit="1" customWidth="1"/>
    <col min="15" max="15" width="16.5" style="3" customWidth="1"/>
    <col min="16" max="16384" width="9" style="3"/>
  </cols>
  <sheetData>
    <row r="1" spans="1:16" ht="36.75" customHeight="1">
      <c r="A1" s="70" t="s">
        <v>19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</row>
    <row r="2" spans="1:16" ht="29.25" customHeight="1">
      <c r="A2" s="1" t="s">
        <v>0</v>
      </c>
      <c r="B2" s="1" t="s">
        <v>1</v>
      </c>
      <c r="C2" s="1" t="s">
        <v>2</v>
      </c>
      <c r="D2" s="1" t="s">
        <v>22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23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2" t="s">
        <v>20</v>
      </c>
    </row>
    <row r="3" spans="1:16" ht="18" customHeight="1">
      <c r="A3" s="57">
        <v>1</v>
      </c>
      <c r="B3" s="64" t="s">
        <v>58</v>
      </c>
      <c r="C3" s="64" t="s">
        <v>75</v>
      </c>
      <c r="D3" s="64" t="s">
        <v>76</v>
      </c>
      <c r="E3" s="2" t="s">
        <v>59</v>
      </c>
      <c r="F3" s="2" t="s">
        <v>56</v>
      </c>
      <c r="G3" s="2">
        <v>50</v>
      </c>
      <c r="H3" s="64">
        <v>20</v>
      </c>
      <c r="I3" s="75">
        <f t="shared" ref="I3" si="0">H3*G3</f>
        <v>1000</v>
      </c>
      <c r="J3" s="64">
        <v>1000</v>
      </c>
      <c r="K3" s="64" t="s">
        <v>60</v>
      </c>
      <c r="L3" s="64"/>
      <c r="M3" s="64" t="s">
        <v>63</v>
      </c>
      <c r="N3" s="64">
        <v>13458990118</v>
      </c>
      <c r="O3" s="64"/>
      <c r="P3" s="52"/>
    </row>
    <row r="4" spans="1:16" ht="18" customHeight="1">
      <c r="A4" s="58"/>
      <c r="B4" s="65"/>
      <c r="C4" s="65"/>
      <c r="D4" s="65"/>
      <c r="E4" s="2" t="s">
        <v>61</v>
      </c>
      <c r="F4" s="2" t="s">
        <v>56</v>
      </c>
      <c r="G4" s="2">
        <v>50</v>
      </c>
      <c r="H4" s="65"/>
      <c r="I4" s="76"/>
      <c r="J4" s="65"/>
      <c r="K4" s="65"/>
      <c r="L4" s="65"/>
      <c r="M4" s="65"/>
      <c r="N4" s="65"/>
      <c r="O4" s="65"/>
      <c r="P4" s="52"/>
    </row>
    <row r="5" spans="1:16" ht="18" customHeight="1">
      <c r="A5" s="59"/>
      <c r="B5" s="66"/>
      <c r="C5" s="66"/>
      <c r="D5" s="66"/>
      <c r="E5" s="2" t="s">
        <v>62</v>
      </c>
      <c r="F5" s="2" t="s">
        <v>56</v>
      </c>
      <c r="G5" s="2">
        <v>50</v>
      </c>
      <c r="H5" s="66"/>
      <c r="I5" s="77"/>
      <c r="J5" s="66"/>
      <c r="K5" s="66"/>
      <c r="L5" s="66"/>
      <c r="M5" s="66"/>
      <c r="N5" s="66"/>
      <c r="O5" s="66"/>
      <c r="P5" s="52"/>
    </row>
    <row r="6" spans="1:16" ht="18" customHeight="1">
      <c r="A6" s="61">
        <v>2</v>
      </c>
      <c r="B6" s="61" t="s">
        <v>49</v>
      </c>
      <c r="C6" s="61" t="s">
        <v>50</v>
      </c>
      <c r="D6" s="61" t="s">
        <v>48</v>
      </c>
      <c r="E6" s="8" t="s">
        <v>15</v>
      </c>
      <c r="F6" s="8" t="s">
        <v>18</v>
      </c>
      <c r="G6" s="8">
        <v>2000</v>
      </c>
      <c r="H6" s="4">
        <v>17.5</v>
      </c>
      <c r="I6" s="4">
        <f>H6*G6</f>
        <v>35000</v>
      </c>
      <c r="J6" s="72">
        <f>I6+I7</f>
        <v>39800</v>
      </c>
      <c r="K6" s="57" t="s">
        <v>51</v>
      </c>
      <c r="L6" s="57"/>
      <c r="M6" s="57" t="s">
        <v>21</v>
      </c>
      <c r="N6" s="57">
        <v>13890915999</v>
      </c>
      <c r="O6" s="73" t="s">
        <v>83</v>
      </c>
    </row>
    <row r="7" spans="1:16" ht="23.25" customHeight="1">
      <c r="A7" s="61"/>
      <c r="B7" s="61"/>
      <c r="C7" s="61"/>
      <c r="D7" s="61"/>
      <c r="E7" s="8" t="s">
        <v>17</v>
      </c>
      <c r="F7" s="8" t="s">
        <v>18</v>
      </c>
      <c r="G7" s="8">
        <v>200</v>
      </c>
      <c r="H7" s="4">
        <v>24</v>
      </c>
      <c r="I7" s="4">
        <f t="shared" ref="I7" si="1">H7*G7</f>
        <v>4800</v>
      </c>
      <c r="J7" s="72"/>
      <c r="K7" s="59"/>
      <c r="L7" s="59"/>
      <c r="M7" s="59"/>
      <c r="N7" s="59"/>
      <c r="O7" s="74"/>
    </row>
    <row r="8" spans="1:16" ht="28.5" customHeight="1">
      <c r="A8" s="57">
        <v>3</v>
      </c>
      <c r="B8" s="57" t="s">
        <v>52</v>
      </c>
      <c r="C8" s="57" t="s">
        <v>53</v>
      </c>
      <c r="D8" s="60" t="s">
        <v>64</v>
      </c>
      <c r="E8" s="5" t="s">
        <v>55</v>
      </c>
      <c r="F8" s="5" t="s">
        <v>56</v>
      </c>
      <c r="G8" s="5">
        <v>150</v>
      </c>
      <c r="H8" s="6">
        <v>30</v>
      </c>
      <c r="I8" s="6">
        <f>H8*G8</f>
        <v>4500</v>
      </c>
      <c r="J8" s="60">
        <f>I8+I9</f>
        <v>9000</v>
      </c>
      <c r="K8" s="60" t="s">
        <v>77</v>
      </c>
      <c r="L8" s="78" t="s">
        <v>84</v>
      </c>
      <c r="M8" s="60" t="s">
        <v>54</v>
      </c>
      <c r="N8" s="60">
        <v>18081212707</v>
      </c>
      <c r="O8" s="60" t="s">
        <v>82</v>
      </c>
    </row>
    <row r="9" spans="1:16" ht="30" customHeight="1">
      <c r="A9" s="58"/>
      <c r="B9" s="58"/>
      <c r="C9" s="58"/>
      <c r="D9" s="60"/>
      <c r="E9" s="5" t="s">
        <v>57</v>
      </c>
      <c r="F9" s="5" t="s">
        <v>56</v>
      </c>
      <c r="G9" s="5">
        <v>150</v>
      </c>
      <c r="H9" s="6">
        <v>30</v>
      </c>
      <c r="I9" s="6">
        <f>H9*G9</f>
        <v>4500</v>
      </c>
      <c r="J9" s="60"/>
      <c r="K9" s="60"/>
      <c r="L9" s="78"/>
      <c r="M9" s="60"/>
      <c r="N9" s="60"/>
      <c r="O9" s="60"/>
    </row>
    <row r="10" spans="1:16" ht="30" customHeight="1">
      <c r="A10" s="58"/>
      <c r="B10" s="58"/>
      <c r="C10" s="58"/>
      <c r="D10" s="57" t="s">
        <v>80</v>
      </c>
      <c r="E10" s="8" t="s">
        <v>55</v>
      </c>
      <c r="F10" s="8" t="s">
        <v>56</v>
      </c>
      <c r="G10" s="8">
        <v>150</v>
      </c>
      <c r="H10" s="51">
        <v>30</v>
      </c>
      <c r="I10" s="51">
        <f>H10*G10</f>
        <v>4500</v>
      </c>
      <c r="J10" s="61">
        <f>I10+I11</f>
        <v>9000</v>
      </c>
      <c r="K10" s="61" t="s">
        <v>81</v>
      </c>
      <c r="L10" s="62"/>
      <c r="M10" s="61" t="s">
        <v>54</v>
      </c>
      <c r="N10" s="61">
        <v>18081212707</v>
      </c>
      <c r="O10" s="61" t="s">
        <v>82</v>
      </c>
    </row>
    <row r="11" spans="1:16" ht="30" customHeight="1">
      <c r="A11" s="59"/>
      <c r="B11" s="59"/>
      <c r="C11" s="59"/>
      <c r="D11" s="59"/>
      <c r="E11" s="8" t="s">
        <v>57</v>
      </c>
      <c r="F11" s="8" t="s">
        <v>56</v>
      </c>
      <c r="G11" s="8">
        <v>150</v>
      </c>
      <c r="H11" s="51">
        <v>30</v>
      </c>
      <c r="I11" s="51">
        <f>H11*G11</f>
        <v>4500</v>
      </c>
      <c r="J11" s="61"/>
      <c r="K11" s="61"/>
      <c r="L11" s="63"/>
      <c r="M11" s="61"/>
      <c r="N11" s="61"/>
      <c r="O11" s="61"/>
    </row>
    <row r="12" spans="1:16" ht="31.5" customHeight="1">
      <c r="A12" s="2">
        <v>4</v>
      </c>
      <c r="B12" s="53" t="s">
        <v>65</v>
      </c>
      <c r="C12" s="53" t="s">
        <v>66</v>
      </c>
      <c r="D12" s="2" t="s">
        <v>70</v>
      </c>
      <c r="E12" s="2" t="s">
        <v>67</v>
      </c>
      <c r="F12" s="2" t="s">
        <v>68</v>
      </c>
      <c r="G12" s="2">
        <v>100</v>
      </c>
      <c r="H12" s="55">
        <v>9</v>
      </c>
      <c r="I12" s="55">
        <v>900</v>
      </c>
      <c r="J12" s="55">
        <v>900</v>
      </c>
      <c r="K12" s="2" t="s">
        <v>78</v>
      </c>
      <c r="L12" s="2"/>
      <c r="M12" s="2" t="s">
        <v>69</v>
      </c>
      <c r="N12" s="2">
        <v>18981165540</v>
      </c>
      <c r="O12" s="2" t="s">
        <v>82</v>
      </c>
    </row>
    <row r="13" spans="1:16" ht="24.75" customHeight="1">
      <c r="A13" s="67">
        <v>5</v>
      </c>
      <c r="B13" s="67" t="s">
        <v>85</v>
      </c>
      <c r="C13" s="67" t="s">
        <v>86</v>
      </c>
      <c r="D13" s="67" t="s">
        <v>89</v>
      </c>
      <c r="E13" s="2" t="s">
        <v>90</v>
      </c>
      <c r="F13" s="2" t="s">
        <v>91</v>
      </c>
      <c r="G13" s="2">
        <v>1</v>
      </c>
      <c r="H13" s="2">
        <v>400</v>
      </c>
      <c r="I13" s="55">
        <f>H13*G13</f>
        <v>400</v>
      </c>
      <c r="J13" s="79">
        <f>I13+I14+I15</f>
        <v>4720</v>
      </c>
      <c r="K13" s="67" t="s">
        <v>97</v>
      </c>
      <c r="L13" s="67"/>
      <c r="M13" s="67" t="s">
        <v>87</v>
      </c>
      <c r="N13" s="67" t="s">
        <v>88</v>
      </c>
      <c r="O13" s="67" t="s">
        <v>96</v>
      </c>
    </row>
    <row r="14" spans="1:16" ht="21.75" customHeight="1">
      <c r="A14" s="67"/>
      <c r="B14" s="67"/>
      <c r="C14" s="67"/>
      <c r="D14" s="67"/>
      <c r="E14" s="2" t="s">
        <v>95</v>
      </c>
      <c r="F14" s="56" t="s">
        <v>92</v>
      </c>
      <c r="G14" s="2">
        <v>1</v>
      </c>
      <c r="H14" s="2">
        <v>1120</v>
      </c>
      <c r="I14" s="55">
        <f t="shared" ref="I14:I15" si="2">H14*G14</f>
        <v>1120</v>
      </c>
      <c r="J14" s="67"/>
      <c r="K14" s="67"/>
      <c r="L14" s="67"/>
      <c r="M14" s="67"/>
      <c r="N14" s="67"/>
      <c r="O14" s="67"/>
    </row>
    <row r="15" spans="1:16" ht="24" customHeight="1">
      <c r="A15" s="67"/>
      <c r="B15" s="67"/>
      <c r="C15" s="67"/>
      <c r="D15" s="67"/>
      <c r="E15" s="2" t="s">
        <v>94</v>
      </c>
      <c r="F15" s="56" t="s">
        <v>93</v>
      </c>
      <c r="G15" s="2">
        <v>1</v>
      </c>
      <c r="H15" s="2">
        <v>3200</v>
      </c>
      <c r="I15" s="55">
        <f t="shared" si="2"/>
        <v>3200</v>
      </c>
      <c r="J15" s="67"/>
      <c r="K15" s="67"/>
      <c r="L15" s="67"/>
      <c r="M15" s="67"/>
      <c r="N15" s="67"/>
      <c r="O15" s="67"/>
    </row>
    <row r="16" spans="1:16" ht="37.5" customHeight="1">
      <c r="A16" s="67">
        <v>6</v>
      </c>
      <c r="B16" s="67" t="s">
        <v>71</v>
      </c>
      <c r="C16" s="67" t="s">
        <v>72</v>
      </c>
      <c r="D16" s="67" t="s">
        <v>74</v>
      </c>
      <c r="E16" s="8" t="s">
        <v>55</v>
      </c>
      <c r="F16" s="8" t="s">
        <v>56</v>
      </c>
      <c r="G16" s="8">
        <v>3000</v>
      </c>
      <c r="H16" s="54">
        <v>29</v>
      </c>
      <c r="I16" s="54">
        <f>H16*G16</f>
        <v>87000</v>
      </c>
      <c r="J16" s="68">
        <f>I16+I17</f>
        <v>174000</v>
      </c>
      <c r="K16" s="64" t="s">
        <v>79</v>
      </c>
      <c r="L16" s="64"/>
      <c r="M16" s="64" t="s">
        <v>73</v>
      </c>
      <c r="N16" s="64">
        <v>15281181361</v>
      </c>
      <c r="O16" s="61" t="s">
        <v>82</v>
      </c>
    </row>
    <row r="17" spans="1:15" ht="30.75" customHeight="1">
      <c r="A17" s="67"/>
      <c r="B17" s="67"/>
      <c r="C17" s="67"/>
      <c r="D17" s="67"/>
      <c r="E17" s="8" t="s">
        <v>57</v>
      </c>
      <c r="F17" s="8" t="s">
        <v>56</v>
      </c>
      <c r="G17" s="8">
        <v>3000</v>
      </c>
      <c r="H17" s="54">
        <v>29</v>
      </c>
      <c r="I17" s="54">
        <f>H17*G17</f>
        <v>87000</v>
      </c>
      <c r="J17" s="69"/>
      <c r="K17" s="66"/>
      <c r="L17" s="66"/>
      <c r="M17" s="66"/>
      <c r="N17" s="66"/>
      <c r="O17" s="61"/>
    </row>
  </sheetData>
  <mergeCells count="60">
    <mergeCell ref="K13:K15"/>
    <mergeCell ref="L13:L15"/>
    <mergeCell ref="M13:M15"/>
    <mergeCell ref="N13:N15"/>
    <mergeCell ref="O13:O15"/>
    <mergeCell ref="D13:D15"/>
    <mergeCell ref="C13:C15"/>
    <mergeCell ref="B13:B15"/>
    <mergeCell ref="A13:A15"/>
    <mergeCell ref="J13:J15"/>
    <mergeCell ref="I3:I5"/>
    <mergeCell ref="J3:J5"/>
    <mergeCell ref="K3:K5"/>
    <mergeCell ref="L3:L5"/>
    <mergeCell ref="K8:K9"/>
    <mergeCell ref="L8:L9"/>
    <mergeCell ref="A1:O1"/>
    <mergeCell ref="A6:A7"/>
    <mergeCell ref="B6:B7"/>
    <mergeCell ref="C6:C7"/>
    <mergeCell ref="D6:D7"/>
    <mergeCell ref="J6:J7"/>
    <mergeCell ref="M6:M7"/>
    <mergeCell ref="N6:N7"/>
    <mergeCell ref="K6:K7"/>
    <mergeCell ref="L6:L7"/>
    <mergeCell ref="O6:O7"/>
    <mergeCell ref="A3:A5"/>
    <mergeCell ref="B3:B5"/>
    <mergeCell ref="C3:C5"/>
    <mergeCell ref="D3:D5"/>
    <mergeCell ref="H3:H5"/>
    <mergeCell ref="B16:B17"/>
    <mergeCell ref="C16:C17"/>
    <mergeCell ref="D16:D17"/>
    <mergeCell ref="A16:A17"/>
    <mergeCell ref="M16:M17"/>
    <mergeCell ref="J16:J17"/>
    <mergeCell ref="K16:K17"/>
    <mergeCell ref="L16:L17"/>
    <mergeCell ref="O16:O17"/>
    <mergeCell ref="O8:O9"/>
    <mergeCell ref="O3:O5"/>
    <mergeCell ref="M3:M5"/>
    <mergeCell ref="N3:N5"/>
    <mergeCell ref="N16:N17"/>
    <mergeCell ref="M10:M11"/>
    <mergeCell ref="N10:N11"/>
    <mergeCell ref="O10:O11"/>
    <mergeCell ref="C8:C11"/>
    <mergeCell ref="B8:B11"/>
    <mergeCell ref="A8:A11"/>
    <mergeCell ref="M8:M9"/>
    <mergeCell ref="N8:N9"/>
    <mergeCell ref="J8:J9"/>
    <mergeCell ref="D8:D9"/>
    <mergeCell ref="K10:K11"/>
    <mergeCell ref="L10:L11"/>
    <mergeCell ref="J10:J11"/>
    <mergeCell ref="D10:D11"/>
  </mergeCells>
  <phoneticPr fontId="1" type="noConversion"/>
  <pageMargins left="0.7" right="0.7" top="0.75" bottom="0.75" header="0.3" footer="0.3"/>
  <pageSetup paperSize="9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9"/>
  <sheetViews>
    <sheetView tabSelected="1" topLeftCell="A7" workbookViewId="0">
      <selection activeCell="T10" sqref="T10"/>
    </sheetView>
  </sheetViews>
  <sheetFormatPr baseColWidth="10" defaultColWidth="9" defaultRowHeight="14"/>
  <cols>
    <col min="1" max="1" width="4.1640625" style="9" customWidth="1"/>
    <col min="2" max="2" width="26.6640625" style="9" customWidth="1"/>
    <col min="3" max="3" width="7.6640625" style="9" customWidth="1"/>
    <col min="4" max="4" width="8" style="9" customWidth="1"/>
    <col min="5" max="5" width="9.6640625" style="9" customWidth="1"/>
    <col min="6" max="6" width="6.5" style="9" customWidth="1"/>
    <col min="7" max="9" width="6.33203125" style="9" customWidth="1"/>
    <col min="10" max="10" width="6.6640625" style="9" customWidth="1"/>
    <col min="11" max="11" width="5.83203125" style="9" customWidth="1"/>
    <col min="12" max="12" width="5.1640625" style="9" customWidth="1"/>
    <col min="13" max="13" width="5.6640625" style="9" customWidth="1"/>
    <col min="14" max="14" width="6.6640625" style="9" customWidth="1"/>
    <col min="15" max="15" width="6.1640625" style="9" customWidth="1"/>
    <col min="16" max="16" width="9.1640625" style="9" customWidth="1"/>
    <col min="17" max="17" width="5.83203125" style="9" customWidth="1"/>
    <col min="18" max="16384" width="9" style="9"/>
  </cols>
  <sheetData>
    <row r="1" spans="1:20" ht="38.25" customHeight="1">
      <c r="A1" s="89" t="s">
        <v>29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</row>
    <row r="2" spans="1:20" ht="32.25" customHeight="1">
      <c r="A2" s="84"/>
      <c r="B2" s="84"/>
      <c r="C2" s="90" t="s">
        <v>30</v>
      </c>
      <c r="D2" s="91"/>
      <c r="E2" s="91"/>
      <c r="F2" s="92" t="s">
        <v>31</v>
      </c>
      <c r="G2" s="93"/>
      <c r="H2" s="93"/>
      <c r="I2" s="94" t="s">
        <v>32</v>
      </c>
      <c r="J2" s="95"/>
      <c r="K2" s="95"/>
      <c r="L2" s="96" t="s">
        <v>33</v>
      </c>
      <c r="M2" s="96"/>
      <c r="N2" s="96"/>
      <c r="O2" s="97" t="s">
        <v>34</v>
      </c>
      <c r="P2" s="97"/>
      <c r="Q2" s="97"/>
    </row>
    <row r="3" spans="1:20" ht="19.5" customHeight="1">
      <c r="A3" s="10" t="s">
        <v>35</v>
      </c>
      <c r="B3" s="10" t="s">
        <v>36</v>
      </c>
      <c r="C3" s="11" t="s">
        <v>37</v>
      </c>
      <c r="D3" s="12" t="s">
        <v>38</v>
      </c>
      <c r="E3" s="12" t="s">
        <v>23</v>
      </c>
      <c r="F3" s="13" t="s">
        <v>37</v>
      </c>
      <c r="G3" s="13" t="s">
        <v>38</v>
      </c>
      <c r="H3" s="13" t="s">
        <v>23</v>
      </c>
      <c r="I3" s="14" t="s">
        <v>37</v>
      </c>
      <c r="J3" s="14" t="s">
        <v>38</v>
      </c>
      <c r="K3" s="14" t="s">
        <v>23</v>
      </c>
      <c r="L3" s="15" t="s">
        <v>37</v>
      </c>
      <c r="M3" s="15" t="s">
        <v>38</v>
      </c>
      <c r="N3" s="15" t="s">
        <v>23</v>
      </c>
      <c r="O3" s="16" t="s">
        <v>37</v>
      </c>
      <c r="P3" s="16" t="s">
        <v>38</v>
      </c>
      <c r="Q3" s="16" t="s">
        <v>23</v>
      </c>
    </row>
    <row r="4" spans="1:20" ht="18" customHeight="1">
      <c r="A4" s="10">
        <v>1</v>
      </c>
      <c r="B4" s="8" t="s">
        <v>27</v>
      </c>
      <c r="C4" s="17">
        <v>750</v>
      </c>
      <c r="D4" s="18">
        <v>7</v>
      </c>
      <c r="E4" s="12">
        <f>D4*C4</f>
        <v>5250</v>
      </c>
      <c r="F4" s="13">
        <v>400</v>
      </c>
      <c r="G4" s="19">
        <v>8</v>
      </c>
      <c r="H4" s="13">
        <f>G4*F4</f>
        <v>3200</v>
      </c>
      <c r="I4" s="20">
        <v>800</v>
      </c>
      <c r="J4" s="21">
        <v>8</v>
      </c>
      <c r="K4" s="14">
        <f>J4*I4</f>
        <v>6400</v>
      </c>
      <c r="L4" s="15">
        <v>500</v>
      </c>
      <c r="M4" s="15">
        <v>10</v>
      </c>
      <c r="N4" s="22">
        <f>M4*L4</f>
        <v>5000</v>
      </c>
      <c r="O4" s="23">
        <v>200</v>
      </c>
      <c r="P4" s="24">
        <v>8</v>
      </c>
      <c r="Q4" s="16">
        <f>P4*O4</f>
        <v>1600</v>
      </c>
    </row>
    <row r="5" spans="1:20" ht="18.75" customHeight="1">
      <c r="A5" s="10">
        <v>2</v>
      </c>
      <c r="B5" s="8" t="s">
        <v>14</v>
      </c>
      <c r="C5" s="17">
        <v>750</v>
      </c>
      <c r="D5" s="18">
        <v>13.5</v>
      </c>
      <c r="E5" s="12">
        <f t="shared" ref="E5:E6" si="0">D5*C5</f>
        <v>10125</v>
      </c>
      <c r="F5" s="13">
        <v>400</v>
      </c>
      <c r="G5" s="19">
        <v>10</v>
      </c>
      <c r="H5" s="13">
        <f t="shared" ref="H5:H6" si="1">G5*F5</f>
        <v>4000</v>
      </c>
      <c r="I5" s="20">
        <v>800</v>
      </c>
      <c r="J5" s="21">
        <v>10</v>
      </c>
      <c r="K5" s="14">
        <f t="shared" ref="K5:K6" si="2">J5*I5</f>
        <v>8000</v>
      </c>
      <c r="L5" s="15">
        <v>500</v>
      </c>
      <c r="M5" s="15">
        <v>14</v>
      </c>
      <c r="N5" s="22">
        <f t="shared" ref="N5:N6" si="3">M5*L5</f>
        <v>7000</v>
      </c>
      <c r="O5" s="23">
        <v>200</v>
      </c>
      <c r="P5" s="24">
        <v>10</v>
      </c>
      <c r="Q5" s="16">
        <f t="shared" ref="Q5:Q6" si="4">P5*O5</f>
        <v>2000</v>
      </c>
    </row>
    <row r="6" spans="1:20" ht="21" customHeight="1">
      <c r="A6" s="10">
        <v>3</v>
      </c>
      <c r="B6" s="8" t="s">
        <v>16</v>
      </c>
      <c r="C6" s="17">
        <v>750</v>
      </c>
      <c r="D6" s="18">
        <v>17</v>
      </c>
      <c r="E6" s="12">
        <f t="shared" si="0"/>
        <v>12750</v>
      </c>
      <c r="F6" s="13">
        <v>400</v>
      </c>
      <c r="G6" s="19">
        <v>10</v>
      </c>
      <c r="H6" s="13">
        <f t="shared" si="1"/>
        <v>4000</v>
      </c>
      <c r="I6" s="20">
        <v>775</v>
      </c>
      <c r="J6" s="21">
        <v>10</v>
      </c>
      <c r="K6" s="14">
        <f t="shared" si="2"/>
        <v>7750</v>
      </c>
      <c r="L6" s="15">
        <v>500</v>
      </c>
      <c r="M6" s="15">
        <v>14</v>
      </c>
      <c r="N6" s="22">
        <f t="shared" si="3"/>
        <v>7000</v>
      </c>
      <c r="O6" s="23">
        <v>200</v>
      </c>
      <c r="P6" s="24">
        <v>10</v>
      </c>
      <c r="Q6" s="16">
        <f t="shared" si="4"/>
        <v>2000</v>
      </c>
    </row>
    <row r="7" spans="1:20" ht="21" customHeight="1">
      <c r="A7" s="10"/>
      <c r="B7" s="8" t="s">
        <v>39</v>
      </c>
      <c r="C7" s="17">
        <f>SUM(C4:C6)</f>
        <v>2250</v>
      </c>
      <c r="D7" s="18"/>
      <c r="E7" s="25">
        <f>SUM(E4:E6)</f>
        <v>28125</v>
      </c>
      <c r="F7" s="26">
        <f>SUM(F4:F6)</f>
        <v>1200</v>
      </c>
      <c r="G7" s="19"/>
      <c r="H7" s="27">
        <f>SUM(H4:H6)</f>
        <v>11200</v>
      </c>
      <c r="I7" s="20">
        <f>SUM(I4:I6)</f>
        <v>2375</v>
      </c>
      <c r="J7" s="28"/>
      <c r="K7" s="29">
        <f>SUM(K4:K6)</f>
        <v>22150</v>
      </c>
      <c r="L7" s="30">
        <f>SUM(L4:L6)</f>
        <v>1500</v>
      </c>
      <c r="M7" s="31"/>
      <c r="N7" s="32">
        <f>SUM(N4:N6)</f>
        <v>19000</v>
      </c>
      <c r="O7" s="23">
        <f>SUM(O4:O6)</f>
        <v>600</v>
      </c>
      <c r="P7" s="24"/>
      <c r="Q7" s="32">
        <f>SUM(Q4:Q6)</f>
        <v>5600</v>
      </c>
      <c r="S7"/>
      <c r="T7"/>
    </row>
    <row r="8" spans="1:20" ht="21" customHeight="1">
      <c r="A8" s="10"/>
      <c r="B8" s="10"/>
      <c r="S8"/>
      <c r="T8"/>
    </row>
    <row r="9" spans="1:20" ht="21" customHeight="1">
      <c r="A9" s="10"/>
      <c r="B9" s="10" t="s">
        <v>36</v>
      </c>
      <c r="C9" s="33" t="s">
        <v>37</v>
      </c>
      <c r="D9" s="10" t="s">
        <v>23</v>
      </c>
    </row>
    <row r="10" spans="1:20" ht="21" customHeight="1">
      <c r="A10" s="84" t="s">
        <v>40</v>
      </c>
      <c r="B10" s="8" t="s">
        <v>27</v>
      </c>
      <c r="C10" s="33">
        <f>C4+F4+I4+L4+O4</f>
        <v>2650</v>
      </c>
      <c r="D10" s="10">
        <f>E4+H4+K4+N4+Q4</f>
        <v>21450</v>
      </c>
    </row>
    <row r="11" spans="1:20" ht="21" customHeight="1">
      <c r="A11" s="84"/>
      <c r="B11" s="8" t="s">
        <v>14</v>
      </c>
      <c r="C11" s="33">
        <f>C5+F5+I5+L5+O5</f>
        <v>2650</v>
      </c>
      <c r="D11" s="10">
        <f>E5+H5+K5+N5+Q5</f>
        <v>31125</v>
      </c>
    </row>
    <row r="12" spans="1:20" ht="21" customHeight="1">
      <c r="A12" s="84"/>
      <c r="B12" s="8" t="s">
        <v>16</v>
      </c>
      <c r="C12" s="33">
        <f>C6+F6+I6+L6+O6</f>
        <v>2625</v>
      </c>
      <c r="D12" s="10">
        <f>E6+H6+K6+N6+Q6</f>
        <v>33500</v>
      </c>
    </row>
    <row r="13" spans="1:20" ht="21" customHeight="1">
      <c r="A13" s="10"/>
      <c r="B13" s="10" t="s">
        <v>41</v>
      </c>
      <c r="C13" s="33">
        <f>SUM(C10:C12)</f>
        <v>7925</v>
      </c>
      <c r="D13" s="34">
        <f>SUM(D10:D12)</f>
        <v>86075</v>
      </c>
    </row>
    <row r="14" spans="1:20" ht="21" customHeight="1">
      <c r="D14" s="35"/>
    </row>
    <row r="15" spans="1:20" ht="21" customHeight="1">
      <c r="A15" s="85" t="s">
        <v>42</v>
      </c>
      <c r="B15" s="86"/>
      <c r="C15" s="86"/>
      <c r="D15" s="86"/>
      <c r="E15" s="87"/>
      <c r="H15" s="36"/>
      <c r="I15" s="88" t="s">
        <v>43</v>
      </c>
      <c r="J15" s="88"/>
      <c r="K15" s="88"/>
      <c r="L15" s="88"/>
      <c r="M15" s="88"/>
      <c r="N15" s="88"/>
      <c r="O15" s="88"/>
      <c r="P15" s="88"/>
    </row>
    <row r="16" spans="1:20" ht="21" customHeight="1">
      <c r="A16" s="37" t="s">
        <v>35</v>
      </c>
      <c r="B16" s="37" t="s">
        <v>36</v>
      </c>
      <c r="C16" s="38" t="s">
        <v>37</v>
      </c>
      <c r="D16" s="38" t="s">
        <v>38</v>
      </c>
      <c r="E16" s="38" t="s">
        <v>23</v>
      </c>
      <c r="H16" s="36" t="s">
        <v>35</v>
      </c>
      <c r="I16" s="81" t="s">
        <v>36</v>
      </c>
      <c r="J16" s="82"/>
      <c r="K16" s="82"/>
      <c r="L16" s="82"/>
      <c r="M16" s="83"/>
      <c r="N16" s="39" t="s">
        <v>37</v>
      </c>
      <c r="O16" s="39" t="s">
        <v>38</v>
      </c>
      <c r="P16" s="39" t="s">
        <v>23</v>
      </c>
    </row>
    <row r="17" spans="1:16" ht="21" customHeight="1">
      <c r="A17" s="37">
        <v>1</v>
      </c>
      <c r="B17" s="40" t="s">
        <v>44</v>
      </c>
      <c r="C17" s="41">
        <v>440</v>
      </c>
      <c r="D17" s="42">
        <v>8</v>
      </c>
      <c r="E17" s="42">
        <f>D17*C17</f>
        <v>3520</v>
      </c>
      <c r="H17" s="36">
        <v>1</v>
      </c>
      <c r="I17" s="80" t="s">
        <v>15</v>
      </c>
      <c r="J17" s="80"/>
      <c r="K17" s="80"/>
      <c r="L17" s="80"/>
      <c r="M17" s="80"/>
      <c r="N17" s="43">
        <v>1000</v>
      </c>
      <c r="O17" s="44">
        <v>19.5</v>
      </c>
      <c r="P17" s="44">
        <f>O17*N17</f>
        <v>19500</v>
      </c>
    </row>
    <row r="18" spans="1:16" ht="18" customHeight="1">
      <c r="A18" s="37">
        <v>2</v>
      </c>
      <c r="B18" s="40" t="s">
        <v>12</v>
      </c>
      <c r="C18" s="41">
        <v>440</v>
      </c>
      <c r="D18" s="42">
        <v>8</v>
      </c>
      <c r="E18" s="42">
        <f>D18*C18</f>
        <v>3520</v>
      </c>
      <c r="H18" s="36">
        <v>2</v>
      </c>
      <c r="I18" s="80" t="s">
        <v>28</v>
      </c>
      <c r="J18" s="80"/>
      <c r="K18" s="80"/>
      <c r="L18" s="80"/>
      <c r="M18" s="80"/>
      <c r="N18" s="43">
        <v>100</v>
      </c>
      <c r="O18" s="44">
        <v>26</v>
      </c>
      <c r="P18" s="44">
        <f t="shared" ref="P18" si="5">O18*N18</f>
        <v>2600</v>
      </c>
    </row>
    <row r="19" spans="1:16" ht="21.75" customHeight="1">
      <c r="A19" s="37">
        <v>3</v>
      </c>
      <c r="B19" s="40" t="s">
        <v>13</v>
      </c>
      <c r="C19" s="41">
        <v>440</v>
      </c>
      <c r="D19" s="42">
        <v>8</v>
      </c>
      <c r="E19" s="42">
        <f>D19*C19</f>
        <v>3520</v>
      </c>
      <c r="H19" s="36">
        <v>3</v>
      </c>
      <c r="I19" s="80" t="s">
        <v>45</v>
      </c>
      <c r="J19" s="80"/>
      <c r="K19" s="80"/>
      <c r="L19" s="80"/>
      <c r="M19" s="80"/>
      <c r="N19" s="43">
        <v>40</v>
      </c>
      <c r="O19" s="44">
        <v>24</v>
      </c>
      <c r="P19" s="44">
        <f>O19*N19</f>
        <v>960</v>
      </c>
    </row>
    <row r="20" spans="1:16" ht="19.5" customHeight="1">
      <c r="A20" s="37">
        <v>4</v>
      </c>
      <c r="B20" s="40" t="s">
        <v>24</v>
      </c>
      <c r="C20" s="41">
        <v>160</v>
      </c>
      <c r="D20" s="42">
        <v>22</v>
      </c>
      <c r="E20" s="42">
        <f>D20*C20</f>
        <v>3520</v>
      </c>
      <c r="H20" s="36"/>
      <c r="I20" s="81"/>
      <c r="J20" s="82"/>
      <c r="K20" s="82"/>
      <c r="L20" s="82"/>
      <c r="M20" s="83"/>
      <c r="N20" s="36">
        <f>SUM(N17:N19)</f>
        <v>1140</v>
      </c>
      <c r="O20" s="36"/>
      <c r="P20" s="45">
        <f>SUM(P17:P19)</f>
        <v>23060</v>
      </c>
    </row>
    <row r="21" spans="1:16" ht="17.25" customHeight="1">
      <c r="A21" s="37"/>
      <c r="B21" s="37"/>
      <c r="C21" s="37">
        <f>SUM(C17:C20)</f>
        <v>1480</v>
      </c>
      <c r="D21" s="37"/>
      <c r="E21" s="46">
        <f>SUM(E17:E20)</f>
        <v>14080</v>
      </c>
    </row>
    <row r="25" spans="1:16" ht="21.75" customHeight="1">
      <c r="A25" s="7" t="s">
        <v>35</v>
      </c>
      <c r="B25" s="7" t="s">
        <v>36</v>
      </c>
      <c r="C25" s="47" t="s">
        <v>37</v>
      </c>
      <c r="D25" s="47" t="s">
        <v>38</v>
      </c>
      <c r="E25" s="47" t="s">
        <v>23</v>
      </c>
    </row>
    <row r="26" spans="1:16" ht="30">
      <c r="A26" s="7">
        <v>1</v>
      </c>
      <c r="B26" s="48" t="s">
        <v>25</v>
      </c>
      <c r="C26" s="5">
        <v>100</v>
      </c>
      <c r="D26" s="6">
        <v>34</v>
      </c>
      <c r="E26" s="6">
        <f>D26*C26</f>
        <v>3400</v>
      </c>
    </row>
    <row r="27" spans="1:16" ht="30">
      <c r="A27" s="7">
        <v>2</v>
      </c>
      <c r="B27" s="48" t="s">
        <v>26</v>
      </c>
      <c r="C27" s="5">
        <v>100</v>
      </c>
      <c r="D27" s="6">
        <v>34</v>
      </c>
      <c r="E27" s="6">
        <f>D27*C27</f>
        <v>3400</v>
      </c>
    </row>
    <row r="28" spans="1:16" ht="21" customHeight="1">
      <c r="A28" s="7">
        <v>3</v>
      </c>
      <c r="B28" s="49" t="s">
        <v>46</v>
      </c>
      <c r="C28" s="7" t="s">
        <v>47</v>
      </c>
      <c r="D28" s="7">
        <v>150</v>
      </c>
      <c r="E28" s="50">
        <v>1500</v>
      </c>
    </row>
    <row r="29" spans="1:16" ht="19.5" customHeight="1">
      <c r="A29" s="7"/>
      <c r="B29" s="7"/>
      <c r="C29" s="7"/>
      <c r="D29" s="7"/>
      <c r="E29" s="50">
        <f>SUM(E26:E28)</f>
        <v>8300</v>
      </c>
    </row>
  </sheetData>
  <mergeCells count="15">
    <mergeCell ref="A1:Q1"/>
    <mergeCell ref="A2:B2"/>
    <mergeCell ref="C2:E2"/>
    <mergeCell ref="F2:H2"/>
    <mergeCell ref="I2:K2"/>
    <mergeCell ref="L2:N2"/>
    <mergeCell ref="O2:Q2"/>
    <mergeCell ref="I18:M18"/>
    <mergeCell ref="I19:M19"/>
    <mergeCell ref="I20:M20"/>
    <mergeCell ref="A10:A12"/>
    <mergeCell ref="A15:E15"/>
    <mergeCell ref="I15:P15"/>
    <mergeCell ref="I16:M16"/>
    <mergeCell ref="I17:M17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2025-04-16T07:43:29Z</dcterms:modified>
</cp:coreProperties>
</file>