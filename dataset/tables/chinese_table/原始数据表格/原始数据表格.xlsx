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2"/>
  </bookViews>
  <sheets>
    <sheet name="出口" sheetId="1" r:id="rId1"/>
    <sheet name="进口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5" i="3"/>
  <c r="W6"/>
  <c r="W7"/>
  <c r="W8"/>
  <c r="W9"/>
  <c r="W10"/>
  <c r="W11"/>
  <c r="W12"/>
  <c r="W13"/>
  <c r="W14"/>
  <c r="W15"/>
  <c r="W16"/>
  <c r="W17"/>
  <c r="W18"/>
  <c r="W19"/>
  <c r="W20"/>
  <c r="W21"/>
  <c r="W22"/>
  <c r="W4"/>
  <c r="V5"/>
  <c r="V6"/>
  <c r="V7"/>
  <c r="V8"/>
  <c r="V9"/>
  <c r="V10"/>
  <c r="V11"/>
  <c r="V12"/>
  <c r="V13"/>
  <c r="V14"/>
  <c r="V15"/>
  <c r="V16"/>
  <c r="V17"/>
  <c r="V18"/>
  <c r="V19"/>
  <c r="V20"/>
  <c r="V21"/>
  <c r="V22"/>
  <c r="V4"/>
  <c r="I5"/>
  <c r="J5" s="1"/>
  <c r="I6"/>
  <c r="J6" s="1"/>
  <c r="I7"/>
  <c r="J7" s="1"/>
  <c r="I8"/>
  <c r="J8" s="1"/>
  <c r="I9"/>
  <c r="J9" s="1"/>
  <c r="I10"/>
  <c r="J10" s="1"/>
  <c r="I11"/>
  <c r="J11" s="1"/>
  <c r="I12"/>
  <c r="J12" s="1"/>
  <c r="I13"/>
  <c r="J13" s="1"/>
  <c r="I14"/>
  <c r="J14" s="1"/>
  <c r="I15"/>
  <c r="J15" s="1"/>
  <c r="I16"/>
  <c r="J16" s="1"/>
  <c r="I17"/>
  <c r="J17" s="1"/>
  <c r="I18"/>
  <c r="J18" s="1"/>
  <c r="I4"/>
  <c r="J4" s="1"/>
</calcChain>
</file>

<file path=xl/sharedStrings.xml><?xml version="1.0" encoding="utf-8"?>
<sst xmlns="http://schemas.openxmlformats.org/spreadsheetml/2006/main" count="219" uniqueCount="100">
  <si>
    <t>中国原铝、铝合金及废铝等出口数据一览表</t>
    <phoneticPr fontId="1" type="noConversion"/>
  </si>
  <si>
    <t>项目</t>
    <phoneticPr fontId="1" type="noConversion"/>
  </si>
  <si>
    <t>月份</t>
    <phoneticPr fontId="1" type="noConversion"/>
  </si>
  <si>
    <t>原铝</t>
    <phoneticPr fontId="1" type="noConversion"/>
  </si>
  <si>
    <t>美国</t>
    <phoneticPr fontId="1" type="noConversion"/>
  </si>
  <si>
    <t>韩国</t>
    <phoneticPr fontId="1" type="noConversion"/>
  </si>
  <si>
    <t>中国台湾</t>
    <phoneticPr fontId="1" type="noConversion"/>
  </si>
  <si>
    <t>铝合金</t>
    <phoneticPr fontId="1" type="noConversion"/>
  </si>
  <si>
    <t>日本</t>
    <phoneticPr fontId="1" type="noConversion"/>
  </si>
  <si>
    <t>中国香港</t>
    <phoneticPr fontId="1" type="noConversion"/>
  </si>
  <si>
    <t>越南</t>
    <phoneticPr fontId="1" type="noConversion"/>
  </si>
  <si>
    <t>泰国</t>
    <phoneticPr fontId="1" type="noConversion"/>
  </si>
  <si>
    <t>澳大利亚</t>
    <phoneticPr fontId="1" type="noConversion"/>
  </si>
  <si>
    <t>印度</t>
    <phoneticPr fontId="1" type="noConversion"/>
  </si>
  <si>
    <t>菲律宾</t>
    <phoneticPr fontId="1" type="noConversion"/>
  </si>
  <si>
    <t>巴西</t>
    <phoneticPr fontId="1" type="noConversion"/>
  </si>
  <si>
    <t>荷兰</t>
    <phoneticPr fontId="1" type="noConversion"/>
  </si>
  <si>
    <t>意大利</t>
    <phoneticPr fontId="1" type="noConversion"/>
  </si>
  <si>
    <t>挪威</t>
    <phoneticPr fontId="1" type="noConversion"/>
  </si>
  <si>
    <t>马来西亚</t>
    <phoneticPr fontId="1" type="noConversion"/>
  </si>
  <si>
    <t>阿联酋</t>
    <phoneticPr fontId="1" type="noConversion"/>
  </si>
  <si>
    <t>废铝</t>
    <phoneticPr fontId="1" type="noConversion"/>
  </si>
  <si>
    <t>氧化铝</t>
    <phoneticPr fontId="1" type="noConversion"/>
  </si>
  <si>
    <t>朝鲜</t>
    <phoneticPr fontId="1" type="noConversion"/>
  </si>
  <si>
    <t>俄罗斯</t>
    <phoneticPr fontId="1" type="noConversion"/>
  </si>
  <si>
    <t>伊朗</t>
    <phoneticPr fontId="1" type="noConversion"/>
  </si>
  <si>
    <t>铝半成品</t>
    <phoneticPr fontId="1" type="noConversion"/>
  </si>
  <si>
    <t>铝条、杆及型材</t>
    <phoneticPr fontId="1" type="noConversion"/>
  </si>
  <si>
    <t>铝丝</t>
    <phoneticPr fontId="1" type="noConversion"/>
  </si>
  <si>
    <t>铝板、片及带</t>
    <phoneticPr fontId="1" type="noConversion"/>
  </si>
  <si>
    <t>铝箔</t>
    <phoneticPr fontId="1" type="noConversion"/>
  </si>
  <si>
    <t>铝管材（含附件）</t>
    <phoneticPr fontId="1" type="noConversion"/>
  </si>
  <si>
    <t>铝制结构体及部件</t>
    <phoneticPr fontId="1" type="noConversion"/>
  </si>
  <si>
    <t>铝绞线、缆</t>
    <phoneticPr fontId="1" type="noConversion"/>
  </si>
  <si>
    <t>-</t>
    <phoneticPr fontId="1" type="noConversion"/>
  </si>
  <si>
    <t>同比%</t>
    <phoneticPr fontId="1" type="noConversion"/>
  </si>
  <si>
    <t>印尼</t>
    <phoneticPr fontId="1" type="noConversion"/>
  </si>
  <si>
    <t>墨西哥</t>
    <phoneticPr fontId="1" type="noConversion"/>
  </si>
  <si>
    <t>尼日利亚</t>
    <phoneticPr fontId="1" type="noConversion"/>
  </si>
  <si>
    <t>中国原铝、铝合金及废铝等进口数据一览表</t>
    <phoneticPr fontId="1" type="noConversion"/>
  </si>
  <si>
    <t>？？？</t>
    <phoneticPr fontId="1" type="noConversion"/>
  </si>
  <si>
    <t>铝土矿</t>
    <phoneticPr fontId="1" type="noConversion"/>
  </si>
  <si>
    <t>2015年1-12月世界氧化铝产量报告</t>
    <phoneticPr fontId="1" type="noConversion"/>
  </si>
  <si>
    <t>日期</t>
    <phoneticPr fontId="1" type="noConversion"/>
  </si>
  <si>
    <t>世界2015年12月氧化铝产量报告（单位：千吨）</t>
    <phoneticPr fontId="1" type="noConversion"/>
  </si>
  <si>
    <t>非洲和亚洲
（不含中国）</t>
    <phoneticPr fontId="1" type="noConversion"/>
  </si>
  <si>
    <t>中国</t>
    <phoneticPr fontId="1" type="noConversion"/>
  </si>
  <si>
    <t>北美</t>
    <phoneticPr fontId="1" type="noConversion"/>
  </si>
  <si>
    <t>南美</t>
    <phoneticPr fontId="1" type="noConversion"/>
  </si>
  <si>
    <t>西欧</t>
    <phoneticPr fontId="1" type="noConversion"/>
  </si>
  <si>
    <t>中东</t>
    <phoneticPr fontId="1" type="noConversion"/>
  </si>
  <si>
    <t>大洋洲</t>
    <phoneticPr fontId="1" type="noConversion"/>
  </si>
  <si>
    <t>总计</t>
    <phoneticPr fontId="1" type="noConversion"/>
  </si>
  <si>
    <t>日均</t>
    <phoneticPr fontId="1" type="noConversion"/>
  </si>
  <si>
    <t>2014年1-12月</t>
    <phoneticPr fontId="1" type="noConversion"/>
  </si>
  <si>
    <t>2015年1-12月</t>
    <phoneticPr fontId="1" type="noConversion"/>
  </si>
  <si>
    <t>2015年1-12月世界原铝产量报告（不含中国）</t>
    <phoneticPr fontId="1" type="noConversion"/>
  </si>
  <si>
    <t>世界2015年12月原铝产量报告（单位：千吨）</t>
    <phoneticPr fontId="1" type="noConversion"/>
  </si>
  <si>
    <t>非洲</t>
    <phoneticPr fontId="1" type="noConversion"/>
  </si>
  <si>
    <t>拉丁美洲</t>
    <phoneticPr fontId="1" type="noConversion"/>
  </si>
  <si>
    <t>亚洲</t>
    <phoneticPr fontId="1" type="noConversion"/>
  </si>
  <si>
    <t>波斯湾</t>
    <phoneticPr fontId="1" type="noConversion"/>
  </si>
  <si>
    <t>2011年</t>
    <phoneticPr fontId="1" type="noConversion"/>
  </si>
  <si>
    <t>2012年</t>
  </si>
  <si>
    <t>2013年</t>
  </si>
  <si>
    <t>2014年</t>
  </si>
  <si>
    <t>2015年1-12月中国铝材产量统计表</t>
    <phoneticPr fontId="1" type="noConversion"/>
  </si>
  <si>
    <t>2015年12月中国铝材产量为495.1万吨，同比增长14.6%。2015年1-12月止累计中国铝材产量5236.4万吨，同比增长9%。</t>
    <phoneticPr fontId="1" type="noConversion"/>
  </si>
  <si>
    <t>月份</t>
    <phoneticPr fontId="1" type="noConversion"/>
  </si>
  <si>
    <t>铝材产量</t>
    <phoneticPr fontId="1" type="noConversion"/>
  </si>
  <si>
    <t>当月值</t>
    <phoneticPr fontId="1" type="noConversion"/>
  </si>
  <si>
    <t>（万吨）</t>
    <phoneticPr fontId="1" type="noConversion"/>
  </si>
  <si>
    <t>累计值</t>
    <phoneticPr fontId="1" type="noConversion"/>
  </si>
  <si>
    <t>同比增长</t>
    <phoneticPr fontId="1" type="noConversion"/>
  </si>
  <si>
    <t>（%）</t>
    <phoneticPr fontId="1" type="noConversion"/>
  </si>
  <si>
    <t>累计增长</t>
    <phoneticPr fontId="1" type="noConversion"/>
  </si>
  <si>
    <t>-</t>
    <phoneticPr fontId="1" type="noConversion"/>
  </si>
  <si>
    <t>2015年1-12月中国铝材进口量统计表</t>
    <phoneticPr fontId="1" type="noConversion"/>
  </si>
  <si>
    <t>2015年1-12月中国铝材进口数量为472080吨，同比下降5.6%；2015年1-12月中国铝材进口金额为2803361千美元，同比下降7.1%。</t>
    <phoneticPr fontId="1" type="noConversion"/>
  </si>
  <si>
    <t>数量</t>
    <phoneticPr fontId="1" type="noConversion"/>
  </si>
  <si>
    <t>吨</t>
    <phoneticPr fontId="1" type="noConversion"/>
  </si>
  <si>
    <t>金额</t>
    <phoneticPr fontId="1" type="noConversion"/>
  </si>
  <si>
    <t>（千美元）</t>
    <phoneticPr fontId="1" type="noConversion"/>
  </si>
  <si>
    <t>数量同比</t>
    <phoneticPr fontId="1" type="noConversion"/>
  </si>
  <si>
    <t>金额同比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</si>
  <si>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</si>
  <si>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</si>
  <si>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</si>
  <si>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</si>
  <si>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</si>
  <si>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</si>
  <si>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</si>
  <si>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</si>
  <si>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</si>
  <si>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</si>
  <si>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</si>
  <si>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</si>
  <si>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2015年1-12月中国铝材出口量统计表</t>
    <phoneticPr fontId="1" type="noConversion"/>
  </si>
  <si>
    <t>中国海关   单位：吨</t>
    <phoneticPr fontId="1" type="noConversion"/>
  </si>
  <si>
    <t>万吨</t>
    <phoneticPr fontId="1" type="noConversion"/>
  </si>
</sst>
</file>

<file path=xl/styles.xml><?xml version="1.0" encoding="utf-8"?>
<styleSheet xmlns="http://schemas.openxmlformats.org/spreadsheetml/2006/main">
  <numFmts count="1">
    <numFmt numFmtId="179" formatCode="0.0_ "/>
  </numFmts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0" fillId="0" borderId="1" xfId="0" applyNumberFormat="1" applyBorder="1">
      <alignment vertical="center"/>
    </xf>
    <xf numFmtId="57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0" fontId="0" fillId="0" borderId="7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opLeftCell="A25" workbookViewId="0">
      <selection activeCell="D52" sqref="D52"/>
    </sheetView>
  </sheetViews>
  <sheetFormatPr defaultRowHeight="13.5"/>
  <cols>
    <col min="1" max="6" width="16.375" customWidth="1"/>
    <col min="7" max="7" width="10.5" style="6" customWidth="1"/>
    <col min="8" max="8" width="9" style="6"/>
  </cols>
  <sheetData>
    <row r="1" spans="1:8">
      <c r="A1" t="s">
        <v>0</v>
      </c>
      <c r="D1" t="s">
        <v>98</v>
      </c>
    </row>
    <row r="2" spans="1:8" s="4" customFormat="1">
      <c r="A2" s="4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35</v>
      </c>
      <c r="G2" s="4" t="s">
        <v>2</v>
      </c>
      <c r="H2" s="4" t="s">
        <v>35</v>
      </c>
    </row>
    <row r="3" spans="1:8" s="4" customFormat="1">
      <c r="B3" s="4">
        <v>2016.02</v>
      </c>
      <c r="C3" s="4">
        <v>2016.03</v>
      </c>
      <c r="D3" s="4">
        <v>2016.04</v>
      </c>
      <c r="E3" s="7">
        <v>2016.05</v>
      </c>
      <c r="F3" s="7"/>
      <c r="G3" s="7">
        <v>2016.06</v>
      </c>
      <c r="H3" s="7"/>
    </row>
    <row r="4" spans="1:8" s="2" customFormat="1">
      <c r="A4" s="2" t="s">
        <v>3</v>
      </c>
      <c r="C4" s="2">
        <v>5196</v>
      </c>
      <c r="D4" s="2">
        <v>151</v>
      </c>
      <c r="E4" s="2">
        <v>29</v>
      </c>
      <c r="G4" s="4">
        <v>1068</v>
      </c>
      <c r="H4" s="4">
        <v>21.16</v>
      </c>
    </row>
    <row r="5" spans="1:8">
      <c r="A5" s="1" t="s">
        <v>4</v>
      </c>
      <c r="B5" s="1"/>
      <c r="C5" s="1"/>
      <c r="D5" s="1"/>
      <c r="E5" s="1"/>
      <c r="F5" s="1"/>
      <c r="G5" s="6">
        <v>6</v>
      </c>
      <c r="H5" s="4" t="s">
        <v>34</v>
      </c>
    </row>
    <row r="6" spans="1:8" s="1" customFormat="1">
      <c r="A6" s="1" t="s">
        <v>5</v>
      </c>
      <c r="E6" s="1" t="s">
        <v>34</v>
      </c>
      <c r="G6" s="6">
        <v>1000</v>
      </c>
      <c r="H6" s="6">
        <v>464.05</v>
      </c>
    </row>
    <row r="7" spans="1:8" s="1" customFormat="1">
      <c r="A7" s="1" t="s">
        <v>6</v>
      </c>
      <c r="E7" s="1" t="s">
        <v>34</v>
      </c>
      <c r="G7" s="6" t="s">
        <v>34</v>
      </c>
      <c r="H7" s="6">
        <v>-100</v>
      </c>
    </row>
    <row r="8" spans="1:8" s="1" customFormat="1">
      <c r="A8" s="1" t="s">
        <v>8</v>
      </c>
      <c r="E8" s="1">
        <v>20</v>
      </c>
      <c r="G8" s="6"/>
      <c r="H8" s="6"/>
    </row>
    <row r="9" spans="1:8" s="3" customFormat="1">
      <c r="A9" s="3" t="s">
        <v>7</v>
      </c>
      <c r="C9" s="3">
        <v>49783</v>
      </c>
      <c r="D9" s="4">
        <v>43645</v>
      </c>
      <c r="E9" s="4">
        <v>42752</v>
      </c>
      <c r="F9" s="4"/>
      <c r="G9" s="4">
        <v>36908</v>
      </c>
      <c r="H9" s="4">
        <v>-7.04</v>
      </c>
    </row>
    <row r="10" spans="1:8" s="1" customFormat="1">
      <c r="A10" s="1" t="s">
        <v>8</v>
      </c>
      <c r="D10" s="6"/>
      <c r="E10" s="6">
        <v>23974</v>
      </c>
      <c r="F10" s="6"/>
      <c r="G10" s="6">
        <v>20532</v>
      </c>
      <c r="H10" s="6">
        <v>49.86</v>
      </c>
    </row>
    <row r="11" spans="1:8" s="1" customFormat="1">
      <c r="A11" s="1" t="s">
        <v>9</v>
      </c>
      <c r="E11" s="1">
        <v>8410</v>
      </c>
      <c r="G11" s="6">
        <v>8309</v>
      </c>
      <c r="H11" s="6">
        <v>-50.71</v>
      </c>
    </row>
    <row r="12" spans="1:8" s="1" customFormat="1">
      <c r="A12" s="1" t="s">
        <v>5</v>
      </c>
      <c r="E12" s="1">
        <v>2312</v>
      </c>
      <c r="G12" s="6">
        <v>1428</v>
      </c>
      <c r="H12" s="6">
        <v>-23.43</v>
      </c>
    </row>
    <row r="13" spans="1:8" s="1" customFormat="1">
      <c r="A13" s="1" t="s">
        <v>10</v>
      </c>
      <c r="E13" s="1">
        <v>2113</v>
      </c>
      <c r="G13" s="6">
        <v>1412</v>
      </c>
      <c r="H13" s="6">
        <v>-23.29</v>
      </c>
    </row>
    <row r="14" spans="1:8" s="1" customFormat="1">
      <c r="A14" s="1" t="s">
        <v>11</v>
      </c>
      <c r="E14" s="1">
        <v>1458</v>
      </c>
      <c r="G14" s="6">
        <v>2288</v>
      </c>
      <c r="H14" s="6">
        <v>81.900000000000006</v>
      </c>
    </row>
    <row r="15" spans="1:8" s="1" customFormat="1">
      <c r="A15" s="1" t="s">
        <v>12</v>
      </c>
      <c r="E15" s="1">
        <v>1029</v>
      </c>
      <c r="G15" s="6">
        <v>747</v>
      </c>
      <c r="H15" s="6">
        <v>12.72</v>
      </c>
    </row>
    <row r="16" spans="1:8" s="1" customFormat="1">
      <c r="A16" s="1" t="s">
        <v>6</v>
      </c>
      <c r="E16" s="1">
        <v>762</v>
      </c>
      <c r="G16" s="6">
        <v>542</v>
      </c>
      <c r="H16" s="6">
        <v>-42.51</v>
      </c>
    </row>
    <row r="17" spans="1:8" s="1" customFormat="1">
      <c r="A17" s="1" t="s">
        <v>13</v>
      </c>
      <c r="E17" s="1">
        <v>541</v>
      </c>
      <c r="G17" s="6">
        <v>551</v>
      </c>
      <c r="H17" s="6">
        <v>10.41</v>
      </c>
    </row>
    <row r="18" spans="1:8" s="1" customFormat="1">
      <c r="A18" s="1" t="s">
        <v>14</v>
      </c>
      <c r="E18" s="1">
        <v>502</v>
      </c>
      <c r="G18" s="6">
        <v>140</v>
      </c>
      <c r="H18" s="6">
        <v>-79.22</v>
      </c>
    </row>
    <row r="19" spans="1:8" s="1" customFormat="1">
      <c r="A19" s="1" t="s">
        <v>15</v>
      </c>
      <c r="E19" s="1">
        <v>275</v>
      </c>
      <c r="G19" s="6">
        <v>275</v>
      </c>
      <c r="H19" s="6">
        <v>21.65</v>
      </c>
    </row>
    <row r="20" spans="1:8" s="1" customFormat="1">
      <c r="A20" s="1" t="s">
        <v>16</v>
      </c>
      <c r="E20" s="1">
        <v>267</v>
      </c>
      <c r="G20" s="6">
        <v>202</v>
      </c>
      <c r="H20" s="6">
        <v>-10.85</v>
      </c>
    </row>
    <row r="21" spans="1:8" s="1" customFormat="1">
      <c r="A21" s="1" t="s">
        <v>36</v>
      </c>
      <c r="E21" s="1">
        <v>262</v>
      </c>
      <c r="G21" s="6"/>
      <c r="H21" s="6"/>
    </row>
    <row r="22" spans="1:8" s="1" customFormat="1">
      <c r="A22" s="1" t="s">
        <v>37</v>
      </c>
      <c r="E22" s="1">
        <v>242</v>
      </c>
      <c r="G22" s="6"/>
      <c r="H22" s="6"/>
    </row>
    <row r="23" spans="1:8" s="1" customFormat="1">
      <c r="A23" s="1" t="s">
        <v>17</v>
      </c>
      <c r="G23" s="6">
        <v>52</v>
      </c>
      <c r="H23" s="6">
        <v>184.37</v>
      </c>
    </row>
    <row r="24" spans="1:8" s="1" customFormat="1">
      <c r="A24" s="1" t="s">
        <v>18</v>
      </c>
      <c r="G24" s="6">
        <v>50</v>
      </c>
      <c r="H24" s="6">
        <v>-77.92</v>
      </c>
    </row>
    <row r="25" spans="1:8" s="1" customFormat="1">
      <c r="A25" s="1" t="s">
        <v>19</v>
      </c>
      <c r="E25" s="1">
        <v>204</v>
      </c>
      <c r="G25" s="6">
        <v>116</v>
      </c>
      <c r="H25" s="6">
        <v>785.54</v>
      </c>
    </row>
    <row r="26" spans="1:8" s="1" customFormat="1">
      <c r="A26" s="1" t="s">
        <v>20</v>
      </c>
      <c r="E26" s="1">
        <v>140</v>
      </c>
      <c r="G26" s="6">
        <v>140</v>
      </c>
      <c r="H26" s="6">
        <v>133.33000000000001</v>
      </c>
    </row>
    <row r="27" spans="1:8" s="1" customFormat="1">
      <c r="A27" s="1" t="s">
        <v>4</v>
      </c>
      <c r="E27" s="1">
        <v>51</v>
      </c>
      <c r="G27" s="6">
        <v>36</v>
      </c>
      <c r="H27" s="6" t="s">
        <v>34</v>
      </c>
    </row>
    <row r="28" spans="1:8" s="2" customFormat="1">
      <c r="A28" s="2" t="s">
        <v>21</v>
      </c>
      <c r="C28" s="2">
        <v>65</v>
      </c>
      <c r="D28" s="2">
        <v>76</v>
      </c>
      <c r="E28" s="2">
        <v>45</v>
      </c>
      <c r="G28" s="4">
        <v>52</v>
      </c>
      <c r="H28" s="4">
        <v>-29.08</v>
      </c>
    </row>
    <row r="29" spans="1:8" s="1" customFormat="1">
      <c r="A29" s="1" t="s">
        <v>8</v>
      </c>
      <c r="D29" s="1">
        <v>76</v>
      </c>
      <c r="E29" s="1">
        <v>35</v>
      </c>
      <c r="G29" s="6">
        <v>52</v>
      </c>
      <c r="H29" s="6" t="s">
        <v>34</v>
      </c>
    </row>
    <row r="30" spans="1:8" s="1" customFormat="1">
      <c r="A30" s="1" t="s">
        <v>5</v>
      </c>
      <c r="D30" s="1" t="s">
        <v>34</v>
      </c>
      <c r="E30" s="1">
        <v>10</v>
      </c>
      <c r="G30" s="6">
        <v>10</v>
      </c>
      <c r="H30" s="6">
        <v>-100</v>
      </c>
    </row>
    <row r="31" spans="1:8" s="1" customFormat="1">
      <c r="A31" s="1" t="s">
        <v>15</v>
      </c>
      <c r="D31" s="1" t="s">
        <v>34</v>
      </c>
      <c r="E31" s="1" t="s">
        <v>34</v>
      </c>
      <c r="G31" s="6" t="s">
        <v>34</v>
      </c>
      <c r="H31" s="6" t="s">
        <v>34</v>
      </c>
    </row>
    <row r="32" spans="1:8" s="2" customFormat="1">
      <c r="A32" s="2" t="s">
        <v>22</v>
      </c>
      <c r="C32" s="2">
        <v>6018</v>
      </c>
      <c r="D32" s="2">
        <v>18107</v>
      </c>
      <c r="E32" s="2">
        <v>3929</v>
      </c>
      <c r="G32" s="4">
        <v>3112</v>
      </c>
      <c r="H32" s="4">
        <v>-85.33</v>
      </c>
    </row>
    <row r="33" spans="1:8" s="1" customFormat="1">
      <c r="A33" s="1" t="s">
        <v>23</v>
      </c>
      <c r="E33" s="1">
        <v>1286</v>
      </c>
      <c r="G33" s="6">
        <v>997</v>
      </c>
      <c r="H33" s="6">
        <v>-0.67</v>
      </c>
    </row>
    <row r="34" spans="1:8" s="1" customFormat="1">
      <c r="A34" s="1" t="s">
        <v>8</v>
      </c>
      <c r="E34" s="1">
        <v>818</v>
      </c>
      <c r="G34" s="6">
        <v>582</v>
      </c>
      <c r="H34" s="6">
        <v>99.37</v>
      </c>
    </row>
    <row r="35" spans="1:8" s="1" customFormat="1">
      <c r="A35" s="1" t="s">
        <v>4</v>
      </c>
      <c r="E35" s="1">
        <v>350</v>
      </c>
      <c r="G35" s="6"/>
      <c r="H35" s="6"/>
    </row>
    <row r="36" spans="1:8" s="1" customFormat="1">
      <c r="A36" s="1" t="s">
        <v>5</v>
      </c>
      <c r="E36" s="1">
        <v>286</v>
      </c>
      <c r="G36" s="6">
        <v>239</v>
      </c>
      <c r="H36" s="6">
        <v>10.3</v>
      </c>
    </row>
    <row r="37" spans="1:8" s="1" customFormat="1">
      <c r="A37" s="1" t="s">
        <v>10</v>
      </c>
      <c r="E37" s="1">
        <v>189</v>
      </c>
      <c r="G37" s="6">
        <v>214</v>
      </c>
      <c r="H37" s="6">
        <v>-0.13</v>
      </c>
    </row>
    <row r="38" spans="1:8" s="1" customFormat="1">
      <c r="A38" s="1" t="s">
        <v>24</v>
      </c>
      <c r="E38" s="1">
        <v>155</v>
      </c>
      <c r="G38" s="6">
        <v>212</v>
      </c>
      <c r="H38" s="6">
        <v>21105</v>
      </c>
    </row>
    <row r="39" spans="1:8" s="1" customFormat="1">
      <c r="A39" s="1" t="s">
        <v>6</v>
      </c>
      <c r="E39" s="1">
        <v>136</v>
      </c>
      <c r="G39" s="6">
        <v>161</v>
      </c>
      <c r="H39" s="6">
        <v>-3.52</v>
      </c>
    </row>
    <row r="40" spans="1:8" s="1" customFormat="1">
      <c r="A40" s="1" t="s">
        <v>25</v>
      </c>
      <c r="G40" s="6">
        <v>151</v>
      </c>
      <c r="H40" s="6">
        <v>-99.16</v>
      </c>
    </row>
    <row r="41" spans="1:8" s="1" customFormat="1">
      <c r="A41" s="1" t="s">
        <v>13</v>
      </c>
      <c r="G41" s="6">
        <v>96</v>
      </c>
      <c r="H41" s="6">
        <v>290.39999999999998</v>
      </c>
    </row>
    <row r="42" spans="1:8" s="1" customFormat="1">
      <c r="A42" s="1" t="s">
        <v>38</v>
      </c>
      <c r="E42" s="1">
        <v>108</v>
      </c>
      <c r="G42" s="6"/>
      <c r="H42" s="6"/>
    </row>
    <row r="43" spans="1:8" s="2" customFormat="1">
      <c r="A43" s="2" t="s">
        <v>26</v>
      </c>
      <c r="C43" s="2">
        <v>360000</v>
      </c>
      <c r="D43" s="2">
        <v>360000</v>
      </c>
      <c r="E43" s="2">
        <v>370000</v>
      </c>
      <c r="G43" s="4">
        <v>340000</v>
      </c>
      <c r="H43" s="4">
        <v>-16.600000000000001</v>
      </c>
    </row>
    <row r="44" spans="1:8" s="1" customFormat="1">
      <c r="A44" s="1" t="s">
        <v>27</v>
      </c>
      <c r="C44" s="1">
        <v>103972</v>
      </c>
      <c r="D44" s="1">
        <v>106909</v>
      </c>
      <c r="E44" s="1">
        <v>101923</v>
      </c>
      <c r="G44" s="6">
        <v>100598</v>
      </c>
      <c r="H44" s="6">
        <v>-38.14</v>
      </c>
    </row>
    <row r="45" spans="1:8" s="1" customFormat="1">
      <c r="A45" s="1" t="s">
        <v>28</v>
      </c>
      <c r="C45" s="1">
        <v>1980</v>
      </c>
      <c r="D45" s="1">
        <v>2007</v>
      </c>
      <c r="E45" s="1">
        <v>2044</v>
      </c>
      <c r="G45" s="6">
        <v>1938</v>
      </c>
      <c r="H45" s="6">
        <v>25.23</v>
      </c>
    </row>
    <row r="46" spans="1:8" s="1" customFormat="1">
      <c r="A46" s="1" t="s">
        <v>29</v>
      </c>
      <c r="C46" s="1">
        <v>150166</v>
      </c>
      <c r="D46" s="1">
        <v>142775</v>
      </c>
      <c r="E46" s="1">
        <v>155271</v>
      </c>
      <c r="G46" s="6">
        <v>135572</v>
      </c>
      <c r="H46" s="6">
        <v>-7.5</v>
      </c>
    </row>
    <row r="47" spans="1:8" s="1" customFormat="1">
      <c r="A47" s="1" t="s">
        <v>30</v>
      </c>
      <c r="C47" s="1">
        <v>93808</v>
      </c>
      <c r="D47" s="1">
        <v>93356</v>
      </c>
      <c r="E47" s="1">
        <v>102442</v>
      </c>
      <c r="G47" s="6">
        <v>90578</v>
      </c>
      <c r="H47" s="6">
        <v>15.29</v>
      </c>
    </row>
    <row r="48" spans="1:8" s="1" customFormat="1">
      <c r="A48" s="1" t="s">
        <v>31</v>
      </c>
      <c r="C48" s="1">
        <v>9773</v>
      </c>
      <c r="D48" s="1">
        <v>10957</v>
      </c>
      <c r="E48" s="1">
        <v>11554</v>
      </c>
      <c r="G48" s="6">
        <v>11158</v>
      </c>
      <c r="H48" s="6">
        <v>-39.130000000000003</v>
      </c>
    </row>
    <row r="49" spans="1:8" s="1" customFormat="1">
      <c r="A49" s="1" t="s">
        <v>32</v>
      </c>
      <c r="C49" s="1">
        <v>58253</v>
      </c>
      <c r="D49" s="1">
        <v>64414</v>
      </c>
      <c r="E49" s="1">
        <v>69576</v>
      </c>
      <c r="G49" s="6">
        <v>64347</v>
      </c>
      <c r="H49" s="6">
        <v>-0.36</v>
      </c>
    </row>
    <row r="50" spans="1:8" s="1" customFormat="1">
      <c r="A50" s="1" t="s">
        <v>33</v>
      </c>
      <c r="C50" s="1">
        <v>9668</v>
      </c>
      <c r="D50" s="1">
        <v>14773</v>
      </c>
      <c r="E50" s="1">
        <v>16190</v>
      </c>
      <c r="G50" s="6">
        <v>16881</v>
      </c>
      <c r="H50" s="6">
        <v>-9.6999999999999993</v>
      </c>
    </row>
  </sheetData>
  <mergeCells count="2">
    <mergeCell ref="G3:H3"/>
    <mergeCell ref="E3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>
      <selection activeCell="E56" sqref="E56"/>
    </sheetView>
  </sheetViews>
  <sheetFormatPr defaultRowHeight="13.5"/>
  <cols>
    <col min="1" max="1" width="16.375" customWidth="1"/>
    <col min="2" max="5" width="16.375" style="6" customWidth="1"/>
    <col min="6" max="6" width="10.5" style="6" customWidth="1"/>
  </cols>
  <sheetData>
    <row r="1" spans="1:6">
      <c r="A1" t="s">
        <v>39</v>
      </c>
    </row>
    <row r="2" spans="1:6" s="4" customFormat="1">
      <c r="A2" s="4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</row>
    <row r="3" spans="1:6" s="4" customFormat="1">
      <c r="B3" s="4">
        <v>2016.02</v>
      </c>
      <c r="C3" s="4">
        <v>2016.03</v>
      </c>
      <c r="D3" s="4">
        <v>2016.04</v>
      </c>
      <c r="E3" s="5">
        <v>2016.05</v>
      </c>
      <c r="F3" s="5">
        <v>2016.06</v>
      </c>
    </row>
    <row r="4" spans="1:6" s="2" customFormat="1">
      <c r="A4" s="2" t="s">
        <v>3</v>
      </c>
      <c r="B4" s="4"/>
      <c r="C4" s="4">
        <v>3338</v>
      </c>
      <c r="D4" s="4">
        <v>4893</v>
      </c>
      <c r="E4" s="4">
        <v>1980</v>
      </c>
      <c r="F4" s="4">
        <v>13931</v>
      </c>
    </row>
    <row r="5" spans="1:6" hidden="1">
      <c r="A5" s="1" t="s">
        <v>4</v>
      </c>
    </row>
    <row r="6" spans="1:6" s="1" customFormat="1" hidden="1">
      <c r="A6" s="1" t="s">
        <v>5</v>
      </c>
      <c r="B6" s="6"/>
      <c r="C6" s="6"/>
      <c r="D6" s="6"/>
      <c r="E6" s="6"/>
      <c r="F6" s="6"/>
    </row>
    <row r="7" spans="1:6" s="1" customFormat="1" hidden="1">
      <c r="A7" s="1" t="s">
        <v>6</v>
      </c>
      <c r="B7" s="6"/>
      <c r="C7" s="6"/>
      <c r="D7" s="6"/>
      <c r="E7" s="6"/>
      <c r="F7" s="6"/>
    </row>
    <row r="8" spans="1:6" s="1" customFormat="1" hidden="1">
      <c r="A8" s="1" t="s">
        <v>8</v>
      </c>
      <c r="B8" s="6"/>
      <c r="C8" s="6"/>
      <c r="D8" s="6"/>
      <c r="E8" s="6"/>
      <c r="F8" s="6"/>
    </row>
    <row r="9" spans="1:6" s="3" customFormat="1">
      <c r="A9" s="3" t="s">
        <v>7</v>
      </c>
      <c r="B9" s="4"/>
      <c r="C9" s="4">
        <v>4003</v>
      </c>
      <c r="D9" s="4">
        <v>4091</v>
      </c>
      <c r="E9" s="4">
        <v>4423</v>
      </c>
      <c r="F9" s="4">
        <v>6389</v>
      </c>
    </row>
    <row r="10" spans="1:6" s="1" customFormat="1" hidden="1">
      <c r="A10" s="1" t="s">
        <v>8</v>
      </c>
      <c r="B10" s="6"/>
      <c r="C10" s="6"/>
      <c r="D10" s="6"/>
      <c r="E10" s="6"/>
      <c r="F10" s="6"/>
    </row>
    <row r="11" spans="1:6" s="1" customFormat="1" hidden="1">
      <c r="A11" s="1" t="s">
        <v>9</v>
      </c>
      <c r="B11" s="6"/>
      <c r="C11" s="6"/>
      <c r="D11" s="6"/>
      <c r="E11" s="6"/>
      <c r="F11" s="6"/>
    </row>
    <row r="12" spans="1:6" s="1" customFormat="1" hidden="1">
      <c r="A12" s="1" t="s">
        <v>5</v>
      </c>
      <c r="B12" s="6"/>
      <c r="C12" s="6"/>
      <c r="D12" s="6"/>
      <c r="E12" s="6"/>
      <c r="F12" s="6"/>
    </row>
    <row r="13" spans="1:6" s="1" customFormat="1" hidden="1">
      <c r="A13" s="1" t="s">
        <v>10</v>
      </c>
      <c r="B13" s="6"/>
      <c r="C13" s="6"/>
      <c r="D13" s="6"/>
      <c r="E13" s="6"/>
      <c r="F13" s="6"/>
    </row>
    <row r="14" spans="1:6" s="1" customFormat="1" hidden="1">
      <c r="A14" s="1" t="s">
        <v>11</v>
      </c>
      <c r="B14" s="6"/>
      <c r="C14" s="6"/>
      <c r="D14" s="6"/>
      <c r="E14" s="6"/>
      <c r="F14" s="6"/>
    </row>
    <row r="15" spans="1:6" s="1" customFormat="1" hidden="1">
      <c r="A15" s="1" t="s">
        <v>12</v>
      </c>
      <c r="B15" s="6"/>
      <c r="C15" s="6"/>
      <c r="D15" s="6"/>
      <c r="E15" s="6"/>
      <c r="F15" s="6"/>
    </row>
    <row r="16" spans="1:6" s="1" customFormat="1" hidden="1">
      <c r="A16" s="1" t="s">
        <v>6</v>
      </c>
      <c r="B16" s="6"/>
      <c r="C16" s="6"/>
      <c r="D16" s="6"/>
      <c r="E16" s="6"/>
      <c r="F16" s="6"/>
    </row>
    <row r="17" spans="1:6" s="1" customFormat="1" hidden="1">
      <c r="A17" s="1" t="s">
        <v>13</v>
      </c>
      <c r="B17" s="6"/>
      <c r="C17" s="6"/>
      <c r="D17" s="6"/>
      <c r="E17" s="6"/>
      <c r="F17" s="6"/>
    </row>
    <row r="18" spans="1:6" s="1" customFormat="1" hidden="1">
      <c r="A18" s="1" t="s">
        <v>14</v>
      </c>
      <c r="B18" s="6"/>
      <c r="C18" s="6"/>
      <c r="D18" s="6"/>
      <c r="E18" s="6"/>
      <c r="F18" s="6"/>
    </row>
    <row r="19" spans="1:6" s="1" customFormat="1" hidden="1">
      <c r="A19" s="1" t="s">
        <v>15</v>
      </c>
      <c r="B19" s="6"/>
      <c r="C19" s="6"/>
      <c r="D19" s="6"/>
      <c r="E19" s="6"/>
      <c r="F19" s="6"/>
    </row>
    <row r="20" spans="1:6" s="1" customFormat="1" hidden="1">
      <c r="A20" s="1" t="s">
        <v>16</v>
      </c>
      <c r="B20" s="6"/>
      <c r="C20" s="6"/>
      <c r="D20" s="6"/>
      <c r="E20" s="6"/>
      <c r="F20" s="6"/>
    </row>
    <row r="21" spans="1:6" s="1" customFormat="1" hidden="1">
      <c r="A21" s="1" t="s">
        <v>36</v>
      </c>
      <c r="B21" s="6"/>
      <c r="C21" s="6"/>
      <c r="D21" s="6"/>
      <c r="E21" s="6"/>
      <c r="F21" s="6"/>
    </row>
    <row r="22" spans="1:6" s="1" customFormat="1" hidden="1">
      <c r="A22" s="1" t="s">
        <v>37</v>
      </c>
      <c r="B22" s="6"/>
      <c r="C22" s="6"/>
      <c r="D22" s="6"/>
      <c r="E22" s="6"/>
      <c r="F22" s="6"/>
    </row>
    <row r="23" spans="1:6" s="1" customFormat="1" hidden="1">
      <c r="A23" s="1" t="s">
        <v>17</v>
      </c>
      <c r="B23" s="6"/>
      <c r="C23" s="6"/>
      <c r="D23" s="6"/>
      <c r="E23" s="6"/>
      <c r="F23" s="6"/>
    </row>
    <row r="24" spans="1:6" s="1" customFormat="1" hidden="1">
      <c r="A24" s="1" t="s">
        <v>18</v>
      </c>
      <c r="B24" s="6"/>
      <c r="C24" s="6"/>
      <c r="D24" s="6"/>
      <c r="E24" s="6"/>
      <c r="F24" s="6"/>
    </row>
    <row r="25" spans="1:6" s="1" customFormat="1" hidden="1">
      <c r="A25" s="1" t="s">
        <v>19</v>
      </c>
      <c r="B25" s="6"/>
      <c r="C25" s="6"/>
      <c r="D25" s="6"/>
      <c r="E25" s="6"/>
      <c r="F25" s="6"/>
    </row>
    <row r="26" spans="1:6" s="1" customFormat="1" hidden="1">
      <c r="A26" s="1" t="s">
        <v>20</v>
      </c>
      <c r="B26" s="6"/>
      <c r="C26" s="6"/>
      <c r="D26" s="6"/>
      <c r="E26" s="6"/>
      <c r="F26" s="6"/>
    </row>
    <row r="27" spans="1:6" s="1" customFormat="1" hidden="1">
      <c r="A27" s="1" t="s">
        <v>4</v>
      </c>
      <c r="B27" s="6"/>
      <c r="C27" s="6"/>
      <c r="D27" s="6"/>
      <c r="E27" s="6"/>
      <c r="F27" s="6"/>
    </row>
    <row r="28" spans="1:6" s="2" customFormat="1">
      <c r="A28" s="2" t="s">
        <v>21</v>
      </c>
      <c r="B28" s="4"/>
      <c r="C28" s="4">
        <v>164406</v>
      </c>
      <c r="D28" s="4">
        <v>164406</v>
      </c>
      <c r="E28" s="4">
        <v>149512</v>
      </c>
      <c r="F28" s="4">
        <v>164905</v>
      </c>
    </row>
    <row r="29" spans="1:6" s="1" customFormat="1" hidden="1">
      <c r="A29" s="1" t="s">
        <v>8</v>
      </c>
      <c r="B29" s="6"/>
      <c r="C29" s="6"/>
      <c r="D29" s="6"/>
      <c r="E29" s="6"/>
      <c r="F29" s="6"/>
    </row>
    <row r="30" spans="1:6" s="1" customFormat="1" hidden="1">
      <c r="A30" s="1" t="s">
        <v>5</v>
      </c>
      <c r="B30" s="6"/>
      <c r="C30" s="6"/>
      <c r="D30" s="6"/>
      <c r="E30" s="6"/>
      <c r="F30" s="6"/>
    </row>
    <row r="31" spans="1:6" s="1" customFormat="1" hidden="1">
      <c r="A31" s="1" t="s">
        <v>15</v>
      </c>
      <c r="B31" s="6"/>
      <c r="C31" s="6"/>
      <c r="D31" s="6"/>
      <c r="E31" s="6"/>
      <c r="F31" s="6"/>
    </row>
    <row r="32" spans="1:6" s="2" customFormat="1">
      <c r="A32" s="2" t="s">
        <v>22</v>
      </c>
      <c r="B32" s="4"/>
      <c r="C32" s="4">
        <v>359833</v>
      </c>
      <c r="D32" s="4" t="s">
        <v>40</v>
      </c>
      <c r="E32" s="4">
        <v>175350</v>
      </c>
      <c r="F32" s="4">
        <v>160804</v>
      </c>
    </row>
    <row r="33" spans="1:6" s="1" customFormat="1" hidden="1">
      <c r="A33" s="1" t="s">
        <v>23</v>
      </c>
      <c r="B33" s="6"/>
      <c r="C33" s="6"/>
      <c r="D33" s="6"/>
      <c r="E33" s="6"/>
      <c r="F33" s="6"/>
    </row>
    <row r="34" spans="1:6" s="1" customFormat="1" hidden="1">
      <c r="A34" s="1" t="s">
        <v>8</v>
      </c>
      <c r="B34" s="6"/>
      <c r="C34" s="6"/>
      <c r="D34" s="6"/>
      <c r="E34" s="6"/>
      <c r="F34" s="6"/>
    </row>
    <row r="35" spans="1:6" s="1" customFormat="1" hidden="1">
      <c r="A35" s="1" t="s">
        <v>4</v>
      </c>
      <c r="B35" s="6"/>
      <c r="C35" s="6"/>
      <c r="D35" s="6"/>
      <c r="E35" s="6"/>
      <c r="F35" s="6"/>
    </row>
    <row r="36" spans="1:6" s="1" customFormat="1" hidden="1">
      <c r="A36" s="1" t="s">
        <v>5</v>
      </c>
      <c r="B36" s="6"/>
      <c r="C36" s="6"/>
      <c r="D36" s="6"/>
      <c r="E36" s="6"/>
      <c r="F36" s="6"/>
    </row>
    <row r="37" spans="1:6" s="1" customFormat="1" hidden="1">
      <c r="A37" s="1" t="s">
        <v>10</v>
      </c>
      <c r="B37" s="6"/>
      <c r="C37" s="6"/>
      <c r="D37" s="6"/>
      <c r="E37" s="6"/>
      <c r="F37" s="6"/>
    </row>
    <row r="38" spans="1:6" s="1" customFormat="1" hidden="1">
      <c r="A38" s="1" t="s">
        <v>24</v>
      </c>
      <c r="B38" s="6"/>
      <c r="C38" s="6"/>
      <c r="D38" s="6"/>
      <c r="E38" s="6"/>
      <c r="F38" s="6"/>
    </row>
    <row r="39" spans="1:6" s="1" customFormat="1" hidden="1">
      <c r="A39" s="1" t="s">
        <v>6</v>
      </c>
      <c r="B39" s="6"/>
      <c r="C39" s="6"/>
      <c r="D39" s="6"/>
      <c r="E39" s="6"/>
      <c r="F39" s="6"/>
    </row>
    <row r="40" spans="1:6" s="1" customFormat="1" hidden="1">
      <c r="A40" s="1" t="s">
        <v>25</v>
      </c>
      <c r="B40" s="6"/>
      <c r="C40" s="6"/>
      <c r="D40" s="6"/>
      <c r="E40" s="6"/>
      <c r="F40" s="6"/>
    </row>
    <row r="41" spans="1:6" s="1" customFormat="1" hidden="1">
      <c r="A41" s="1" t="s">
        <v>13</v>
      </c>
      <c r="B41" s="6"/>
      <c r="C41" s="6"/>
      <c r="D41" s="6"/>
      <c r="E41" s="6"/>
      <c r="F41" s="6"/>
    </row>
    <row r="42" spans="1:6" s="1" customFormat="1" hidden="1">
      <c r="A42" s="1" t="s">
        <v>38</v>
      </c>
      <c r="B42" s="6"/>
      <c r="C42" s="6"/>
      <c r="D42" s="6"/>
      <c r="E42" s="6"/>
      <c r="F42" s="6"/>
    </row>
    <row r="43" spans="1:6" s="8" customFormat="1">
      <c r="A43" s="3" t="s">
        <v>41</v>
      </c>
      <c r="B43" s="5"/>
      <c r="C43" s="5">
        <v>5109253</v>
      </c>
      <c r="D43" s="5">
        <v>5109253</v>
      </c>
      <c r="E43" s="5">
        <v>3847999</v>
      </c>
      <c r="F43" s="5">
        <v>3506176</v>
      </c>
    </row>
    <row r="44" spans="1:6" s="2" customFormat="1">
      <c r="A44" s="2" t="s">
        <v>26</v>
      </c>
      <c r="B44" s="4"/>
      <c r="C44" s="4">
        <v>31487</v>
      </c>
      <c r="D44" s="4">
        <v>28781</v>
      </c>
      <c r="E44" s="4">
        <v>32493</v>
      </c>
      <c r="F44" s="4">
        <v>32319</v>
      </c>
    </row>
    <row r="45" spans="1:6" s="1" customFormat="1">
      <c r="A45" s="1" t="s">
        <v>27</v>
      </c>
      <c r="B45" s="6"/>
      <c r="C45" s="6">
        <v>5971</v>
      </c>
      <c r="D45" s="6">
        <v>5971</v>
      </c>
      <c r="E45" s="6">
        <v>5111</v>
      </c>
      <c r="F45" s="6">
        <v>4133</v>
      </c>
    </row>
    <row r="46" spans="1:6" s="1" customFormat="1">
      <c r="A46" s="1" t="s">
        <v>28</v>
      </c>
      <c r="B46" s="6"/>
      <c r="C46" s="6">
        <v>1053</v>
      </c>
      <c r="D46" s="6">
        <v>839</v>
      </c>
      <c r="E46" s="6">
        <v>861</v>
      </c>
      <c r="F46" s="6">
        <v>1169</v>
      </c>
    </row>
    <row r="47" spans="1:6" s="1" customFormat="1">
      <c r="A47" s="1" t="s">
        <v>29</v>
      </c>
      <c r="B47" s="6"/>
      <c r="C47" s="6">
        <v>18369</v>
      </c>
      <c r="D47" s="6">
        <v>18369</v>
      </c>
      <c r="E47" s="6">
        <v>20827</v>
      </c>
      <c r="F47" s="6">
        <v>20770</v>
      </c>
    </row>
    <row r="48" spans="1:6" s="1" customFormat="1">
      <c r="A48" s="1" t="s">
        <v>30</v>
      </c>
      <c r="B48" s="6"/>
      <c r="C48" s="6">
        <v>5156</v>
      </c>
      <c r="D48" s="6">
        <v>4012.67</v>
      </c>
      <c r="E48" s="6">
        <v>4875</v>
      </c>
      <c r="F48" s="6">
        <v>5326</v>
      </c>
    </row>
    <row r="49" spans="1:6" s="1" customFormat="1">
      <c r="A49" s="1" t="s">
        <v>31</v>
      </c>
      <c r="B49" s="6"/>
      <c r="C49" s="6">
        <v>817</v>
      </c>
      <c r="D49" s="6">
        <v>14813.19</v>
      </c>
      <c r="E49" s="6">
        <v>724</v>
      </c>
      <c r="F49" s="6">
        <v>724</v>
      </c>
    </row>
    <row r="50" spans="1:6" s="1" customFormat="1">
      <c r="A50" s="1" t="s">
        <v>32</v>
      </c>
      <c r="B50" s="6"/>
      <c r="C50" s="6">
        <v>464</v>
      </c>
      <c r="D50" s="6">
        <v>365</v>
      </c>
      <c r="E50" s="6">
        <v>353</v>
      </c>
      <c r="F50" s="6">
        <v>296</v>
      </c>
    </row>
    <row r="51" spans="1:6" s="1" customFormat="1">
      <c r="A51" s="1" t="s">
        <v>33</v>
      </c>
      <c r="B51" s="6"/>
      <c r="C51" s="6">
        <v>1</v>
      </c>
      <c r="D51" s="6">
        <v>11</v>
      </c>
      <c r="E51" s="6">
        <v>2</v>
      </c>
      <c r="F51" s="6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A13" workbookViewId="0">
      <selection activeCell="Q41" sqref="Q41"/>
    </sheetView>
  </sheetViews>
  <sheetFormatPr defaultRowHeight="13.5"/>
  <cols>
    <col min="1" max="1" width="12.875" customWidth="1"/>
    <col min="2" max="2" width="12.375" customWidth="1"/>
    <col min="10" max="10" width="9.5" bestFit="1" customWidth="1"/>
    <col min="11" max="11" width="8" customWidth="1"/>
    <col min="12" max="12" width="4.75" customWidth="1"/>
    <col min="13" max="13" width="13" customWidth="1"/>
    <col min="19" max="19" width="9.5" bestFit="1" customWidth="1"/>
  </cols>
  <sheetData>
    <row r="1" spans="1:23">
      <c r="A1" s="18" t="s">
        <v>42</v>
      </c>
      <c r="B1" s="18"/>
      <c r="C1" s="18"/>
      <c r="D1" s="18"/>
      <c r="E1" s="18"/>
      <c r="F1" s="18"/>
      <c r="G1" s="18"/>
      <c r="H1" s="18"/>
      <c r="I1" s="18"/>
      <c r="J1" s="18"/>
      <c r="M1" s="18" t="s">
        <v>56</v>
      </c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20.25" customHeight="1">
      <c r="A2" s="9" t="s">
        <v>43</v>
      </c>
      <c r="B2" s="9" t="s">
        <v>44</v>
      </c>
      <c r="C2" s="9"/>
      <c r="D2" s="9"/>
      <c r="E2" s="9"/>
      <c r="F2" s="9"/>
      <c r="G2" s="9"/>
      <c r="H2" s="9"/>
      <c r="I2" s="9"/>
      <c r="J2" s="9"/>
      <c r="M2" s="9" t="s">
        <v>43</v>
      </c>
      <c r="N2" s="13" t="s">
        <v>57</v>
      </c>
      <c r="O2" s="14"/>
      <c r="P2" s="14"/>
      <c r="Q2" s="14"/>
      <c r="R2" s="14"/>
      <c r="S2" s="14"/>
      <c r="T2" s="14"/>
      <c r="U2" s="14"/>
      <c r="V2" s="14"/>
      <c r="W2" s="15"/>
    </row>
    <row r="3" spans="1:23" ht="40.5" customHeight="1">
      <c r="A3" s="9"/>
      <c r="B3" s="11" t="s">
        <v>45</v>
      </c>
      <c r="C3" s="10" t="s">
        <v>46</v>
      </c>
      <c r="D3" s="10" t="s">
        <v>47</v>
      </c>
      <c r="E3" s="10" t="s">
        <v>48</v>
      </c>
      <c r="F3" s="10" t="s">
        <v>49</v>
      </c>
      <c r="G3" s="10" t="s">
        <v>50</v>
      </c>
      <c r="H3" s="10" t="s">
        <v>51</v>
      </c>
      <c r="I3" s="10" t="s">
        <v>52</v>
      </c>
      <c r="J3" s="10" t="s">
        <v>53</v>
      </c>
      <c r="M3" s="9"/>
      <c r="N3" s="12" t="s">
        <v>58</v>
      </c>
      <c r="O3" s="12" t="s">
        <v>47</v>
      </c>
      <c r="P3" s="12" t="s">
        <v>59</v>
      </c>
      <c r="Q3" s="12" t="s">
        <v>60</v>
      </c>
      <c r="R3" s="12" t="s">
        <v>49</v>
      </c>
      <c r="S3" s="12" t="s">
        <v>50</v>
      </c>
      <c r="T3" s="12" t="s">
        <v>51</v>
      </c>
      <c r="U3" s="12" t="s">
        <v>61</v>
      </c>
      <c r="V3" s="12" t="s">
        <v>52</v>
      </c>
      <c r="W3" s="12" t="s">
        <v>53</v>
      </c>
    </row>
    <row r="4" spans="1:23">
      <c r="A4" s="10" t="s">
        <v>54</v>
      </c>
      <c r="B4" s="10">
        <v>6174</v>
      </c>
      <c r="C4" s="10">
        <v>50737</v>
      </c>
      <c r="D4" s="10">
        <v>6579</v>
      </c>
      <c r="E4" s="10">
        <v>13664</v>
      </c>
      <c r="F4" s="10">
        <v>5898</v>
      </c>
      <c r="G4" s="10">
        <v>4031</v>
      </c>
      <c r="H4" s="10">
        <v>20799</v>
      </c>
      <c r="I4" s="10">
        <f>SUM(B4:H4)</f>
        <v>107882</v>
      </c>
      <c r="J4" s="16">
        <f>I4/365</f>
        <v>295.56712328767122</v>
      </c>
      <c r="M4" s="12" t="s">
        <v>62</v>
      </c>
      <c r="N4" s="10">
        <v>1803</v>
      </c>
      <c r="O4" s="10">
        <v>4969</v>
      </c>
      <c r="P4" s="10">
        <v>2184</v>
      </c>
      <c r="Q4" s="10">
        <v>2533</v>
      </c>
      <c r="R4" s="10">
        <v>4027</v>
      </c>
      <c r="S4" s="10">
        <v>4319</v>
      </c>
      <c r="T4" s="10">
        <v>2306</v>
      </c>
      <c r="U4" s="10">
        <v>3473</v>
      </c>
      <c r="V4" s="10">
        <f>SUM(N4:U4)</f>
        <v>25614</v>
      </c>
      <c r="W4" s="16">
        <f>V4/365</f>
        <v>70.175342465753431</v>
      </c>
    </row>
    <row r="5" spans="1:23">
      <c r="A5" s="10" t="s">
        <v>55</v>
      </c>
      <c r="B5" s="10">
        <v>6235</v>
      </c>
      <c r="C5" s="10">
        <v>57188</v>
      </c>
      <c r="D5" s="10">
        <v>6449</v>
      </c>
      <c r="E5" s="10">
        <v>13214</v>
      </c>
      <c r="F5" s="10">
        <v>6011</v>
      </c>
      <c r="G5" s="10">
        <v>4076</v>
      </c>
      <c r="H5" s="10">
        <v>20377</v>
      </c>
      <c r="I5" s="10">
        <f t="shared" ref="I5:I18" si="0">SUM(B5:H5)</f>
        <v>113550</v>
      </c>
      <c r="J5" s="16">
        <f t="shared" ref="J5:J18" si="1">I5/365</f>
        <v>311.09589041095893</v>
      </c>
      <c r="M5" s="12" t="s">
        <v>63</v>
      </c>
      <c r="N5" s="10">
        <v>1639</v>
      </c>
      <c r="O5" s="10">
        <v>4851</v>
      </c>
      <c r="P5" s="10">
        <v>2052</v>
      </c>
      <c r="Q5" s="10">
        <v>2535</v>
      </c>
      <c r="R5" s="10">
        <v>3605</v>
      </c>
      <c r="S5" s="10">
        <v>4323</v>
      </c>
      <c r="T5" s="10">
        <v>2186</v>
      </c>
      <c r="U5" s="10">
        <v>3662</v>
      </c>
      <c r="V5" s="10">
        <f t="shared" ref="V5:V22" si="2">SUM(N5:U5)</f>
        <v>24853</v>
      </c>
      <c r="W5" s="16">
        <f t="shared" ref="W5:W22" si="3">V5/365</f>
        <v>68.090410958904116</v>
      </c>
    </row>
    <row r="6" spans="1:23">
      <c r="A6" s="17">
        <v>41974</v>
      </c>
      <c r="B6" s="10">
        <v>583</v>
      </c>
      <c r="C6" s="10">
        <v>4626</v>
      </c>
      <c r="D6" s="10">
        <v>545</v>
      </c>
      <c r="E6" s="10">
        <v>1164</v>
      </c>
      <c r="F6" s="10">
        <v>503</v>
      </c>
      <c r="G6" s="10">
        <v>350</v>
      </c>
      <c r="H6" s="10">
        <v>1822</v>
      </c>
      <c r="I6" s="10">
        <f t="shared" si="0"/>
        <v>9593</v>
      </c>
      <c r="J6" s="16">
        <f t="shared" si="1"/>
        <v>26.282191780821918</v>
      </c>
      <c r="M6" s="12" t="s">
        <v>64</v>
      </c>
      <c r="N6" s="10">
        <v>1810</v>
      </c>
      <c r="O6" s="10">
        <v>4909</v>
      </c>
      <c r="P6" s="10">
        <v>1921</v>
      </c>
      <c r="Q6" s="10">
        <v>2436</v>
      </c>
      <c r="R6" s="10">
        <v>3525</v>
      </c>
      <c r="S6" s="10">
        <v>3995</v>
      </c>
      <c r="T6" s="10">
        <v>2105</v>
      </c>
      <c r="U6" s="10">
        <v>3883</v>
      </c>
      <c r="V6" s="10">
        <f t="shared" si="2"/>
        <v>24584</v>
      </c>
      <c r="W6" s="16">
        <f t="shared" si="3"/>
        <v>67.353424657534248</v>
      </c>
    </row>
    <row r="7" spans="1:23">
      <c r="A7" s="17">
        <v>42005</v>
      </c>
      <c r="B7" s="10">
        <v>529</v>
      </c>
      <c r="C7" s="10">
        <v>4707</v>
      </c>
      <c r="D7" s="10">
        <v>558</v>
      </c>
      <c r="E7" s="10">
        <v>1317</v>
      </c>
      <c r="F7" s="10">
        <v>496</v>
      </c>
      <c r="G7" s="10">
        <v>333</v>
      </c>
      <c r="H7" s="10">
        <v>1728</v>
      </c>
      <c r="I7" s="10">
        <f t="shared" si="0"/>
        <v>9668</v>
      </c>
      <c r="J7" s="16">
        <f t="shared" si="1"/>
        <v>26.487671232876714</v>
      </c>
      <c r="M7" s="12" t="s">
        <v>65</v>
      </c>
      <c r="N7" s="10">
        <v>1746</v>
      </c>
      <c r="O7" s="10">
        <v>4585</v>
      </c>
      <c r="P7" s="10">
        <v>1530</v>
      </c>
      <c r="Q7" s="10">
        <v>2430</v>
      </c>
      <c r="R7" s="10">
        <v>3514</v>
      </c>
      <c r="S7" s="10">
        <v>3765</v>
      </c>
      <c r="T7" s="10">
        <v>2035</v>
      </c>
      <c r="U7" s="10">
        <v>4832</v>
      </c>
      <c r="V7" s="10">
        <f t="shared" si="2"/>
        <v>24437</v>
      </c>
      <c r="W7" s="16">
        <f t="shared" si="3"/>
        <v>66.950684931506856</v>
      </c>
    </row>
    <row r="8" spans="1:23">
      <c r="A8" s="17">
        <v>42036</v>
      </c>
      <c r="B8" s="10">
        <v>500</v>
      </c>
      <c r="C8" s="10">
        <v>4667</v>
      </c>
      <c r="D8" s="10">
        <v>507</v>
      </c>
      <c r="E8" s="10">
        <v>1000</v>
      </c>
      <c r="F8" s="10">
        <v>451</v>
      </c>
      <c r="G8" s="10">
        <v>308</v>
      </c>
      <c r="H8" s="10">
        <v>1504</v>
      </c>
      <c r="I8" s="10">
        <f t="shared" si="0"/>
        <v>8937</v>
      </c>
      <c r="J8" s="16">
        <f t="shared" si="1"/>
        <v>24.484931506849314</v>
      </c>
      <c r="M8" s="12" t="s">
        <v>54</v>
      </c>
      <c r="N8" s="10">
        <v>1746</v>
      </c>
      <c r="O8" s="10">
        <v>4585</v>
      </c>
      <c r="P8" s="10">
        <v>1543</v>
      </c>
      <c r="Q8" s="10">
        <v>2430</v>
      </c>
      <c r="R8" s="10">
        <v>3569</v>
      </c>
      <c r="S8" s="10">
        <v>3765</v>
      </c>
      <c r="T8" s="10">
        <v>2035</v>
      </c>
      <c r="U8" s="10">
        <v>4832</v>
      </c>
      <c r="V8" s="10">
        <f t="shared" si="2"/>
        <v>24505</v>
      </c>
      <c r="W8" s="16">
        <f t="shared" si="3"/>
        <v>67.136986301369859</v>
      </c>
    </row>
    <row r="9" spans="1:23">
      <c r="A9" s="17">
        <v>42064</v>
      </c>
      <c r="B9" s="10">
        <v>512</v>
      </c>
      <c r="C9" s="10">
        <v>4903</v>
      </c>
      <c r="D9" s="10">
        <v>543</v>
      </c>
      <c r="E9" s="10">
        <v>1080</v>
      </c>
      <c r="F9" s="10">
        <v>523</v>
      </c>
      <c r="G9" s="10">
        <v>346</v>
      </c>
      <c r="H9" s="10">
        <v>1730</v>
      </c>
      <c r="I9" s="10">
        <f t="shared" si="0"/>
        <v>9637</v>
      </c>
      <c r="J9" s="16">
        <f t="shared" si="1"/>
        <v>26.402739726027399</v>
      </c>
      <c r="M9" s="12" t="s">
        <v>55</v>
      </c>
      <c r="N9" s="10">
        <v>1690</v>
      </c>
      <c r="O9" s="10">
        <v>4469</v>
      </c>
      <c r="P9" s="10">
        <v>1324</v>
      </c>
      <c r="Q9" s="10">
        <v>2975</v>
      </c>
      <c r="R9" s="10">
        <v>3743</v>
      </c>
      <c r="S9" s="10">
        <v>3829</v>
      </c>
      <c r="T9" s="10">
        <v>1978</v>
      </c>
      <c r="U9" s="10">
        <v>5103</v>
      </c>
      <c r="V9" s="10">
        <f t="shared" si="2"/>
        <v>25111</v>
      </c>
      <c r="W9" s="16">
        <f t="shared" si="3"/>
        <v>68.797260273972597</v>
      </c>
    </row>
    <row r="10" spans="1:23">
      <c r="A10" s="17">
        <v>42095</v>
      </c>
      <c r="B10" s="10">
        <v>470</v>
      </c>
      <c r="C10" s="10">
        <v>4910</v>
      </c>
      <c r="D10" s="10">
        <v>510</v>
      </c>
      <c r="E10" s="10">
        <v>1052</v>
      </c>
      <c r="F10" s="10">
        <v>486</v>
      </c>
      <c r="G10" s="10">
        <v>329</v>
      </c>
      <c r="H10" s="10">
        <v>1614</v>
      </c>
      <c r="I10" s="10">
        <f t="shared" si="0"/>
        <v>9371</v>
      </c>
      <c r="J10" s="16">
        <f t="shared" si="1"/>
        <v>25.673972602739727</v>
      </c>
      <c r="M10" s="19">
        <v>41974</v>
      </c>
      <c r="N10" s="10">
        <v>142</v>
      </c>
      <c r="O10" s="10">
        <v>386</v>
      </c>
      <c r="P10" s="10">
        <v>123</v>
      </c>
      <c r="Q10" s="10">
        <v>233</v>
      </c>
      <c r="R10" s="10">
        <v>313</v>
      </c>
      <c r="S10" s="10">
        <v>323</v>
      </c>
      <c r="T10" s="10">
        <v>167</v>
      </c>
      <c r="U10" s="10">
        <v>428</v>
      </c>
      <c r="V10" s="10">
        <f t="shared" si="2"/>
        <v>2115</v>
      </c>
      <c r="W10" s="16">
        <f t="shared" si="3"/>
        <v>5.7945205479452051</v>
      </c>
    </row>
    <row r="11" spans="1:23">
      <c r="A11" s="17">
        <v>42125</v>
      </c>
      <c r="B11" s="10">
        <v>484</v>
      </c>
      <c r="C11" s="10">
        <v>4954</v>
      </c>
      <c r="D11" s="10">
        <v>562</v>
      </c>
      <c r="E11" s="10">
        <v>1115</v>
      </c>
      <c r="F11" s="10">
        <v>486</v>
      </c>
      <c r="G11" s="10">
        <v>349</v>
      </c>
      <c r="H11" s="10">
        <v>1715</v>
      </c>
      <c r="I11" s="10">
        <f t="shared" si="0"/>
        <v>9665</v>
      </c>
      <c r="J11" s="16">
        <f t="shared" si="1"/>
        <v>26.479452054794521</v>
      </c>
      <c r="M11" s="19">
        <v>42005</v>
      </c>
      <c r="N11" s="10">
        <v>143</v>
      </c>
      <c r="O11" s="10">
        <v>385</v>
      </c>
      <c r="P11" s="10">
        <v>120</v>
      </c>
      <c r="Q11" s="10">
        <v>236</v>
      </c>
      <c r="R11" s="10">
        <v>315</v>
      </c>
      <c r="S11" s="10">
        <v>321</v>
      </c>
      <c r="T11" s="10">
        <v>167</v>
      </c>
      <c r="U11" s="10">
        <v>431</v>
      </c>
      <c r="V11" s="10">
        <f t="shared" si="2"/>
        <v>2118</v>
      </c>
      <c r="W11" s="16">
        <f t="shared" si="3"/>
        <v>5.8027397260273972</v>
      </c>
    </row>
    <row r="12" spans="1:23">
      <c r="A12" s="17">
        <v>42156</v>
      </c>
      <c r="B12" s="10">
        <v>532</v>
      </c>
      <c r="C12" s="10">
        <v>4970</v>
      </c>
      <c r="D12" s="10">
        <v>561</v>
      </c>
      <c r="E12" s="10">
        <v>1087</v>
      </c>
      <c r="F12" s="10">
        <v>489</v>
      </c>
      <c r="G12" s="10">
        <v>338</v>
      </c>
      <c r="H12" s="10">
        <v>1698</v>
      </c>
      <c r="I12" s="10">
        <f t="shared" si="0"/>
        <v>9675</v>
      </c>
      <c r="J12" s="16">
        <f t="shared" si="1"/>
        <v>26.506849315068493</v>
      </c>
      <c r="M12" s="19">
        <v>42036</v>
      </c>
      <c r="N12" s="10">
        <v>130</v>
      </c>
      <c r="O12" s="10">
        <v>348</v>
      </c>
      <c r="P12" s="10">
        <v>106</v>
      </c>
      <c r="Q12" s="10">
        <v>217</v>
      </c>
      <c r="R12" s="10">
        <v>287</v>
      </c>
      <c r="S12" s="10">
        <v>293</v>
      </c>
      <c r="T12" s="10">
        <v>151</v>
      </c>
      <c r="U12" s="10">
        <v>393</v>
      </c>
      <c r="V12" s="10">
        <f t="shared" si="2"/>
        <v>1925</v>
      </c>
      <c r="W12" s="16">
        <f t="shared" si="3"/>
        <v>5.2739726027397262</v>
      </c>
    </row>
    <row r="13" spans="1:23">
      <c r="A13" s="17">
        <v>42186</v>
      </c>
      <c r="B13" s="10">
        <v>543</v>
      </c>
      <c r="C13" s="10">
        <v>4955</v>
      </c>
      <c r="D13" s="10">
        <v>561</v>
      </c>
      <c r="E13" s="10">
        <v>1094</v>
      </c>
      <c r="F13" s="10">
        <v>498</v>
      </c>
      <c r="G13" s="10">
        <v>349</v>
      </c>
      <c r="H13" s="10">
        <v>1729</v>
      </c>
      <c r="I13" s="10">
        <f t="shared" si="0"/>
        <v>9729</v>
      </c>
      <c r="J13" s="16">
        <f t="shared" si="1"/>
        <v>26.654794520547945</v>
      </c>
      <c r="M13" s="19">
        <v>42064</v>
      </c>
      <c r="N13" s="10">
        <v>141</v>
      </c>
      <c r="O13" s="10">
        <v>384</v>
      </c>
      <c r="P13" s="10">
        <v>120</v>
      </c>
      <c r="Q13" s="10">
        <v>242</v>
      </c>
      <c r="R13" s="10">
        <v>316</v>
      </c>
      <c r="S13" s="10">
        <v>324</v>
      </c>
      <c r="T13" s="10">
        <v>168</v>
      </c>
      <c r="U13" s="10">
        <v>437</v>
      </c>
      <c r="V13" s="10">
        <f t="shared" si="2"/>
        <v>2132</v>
      </c>
      <c r="W13" s="16">
        <f t="shared" si="3"/>
        <v>5.8410958904109593</v>
      </c>
    </row>
    <row r="14" spans="1:23">
      <c r="A14" s="17">
        <v>42217</v>
      </c>
      <c r="B14" s="10">
        <v>552</v>
      </c>
      <c r="C14" s="10">
        <v>5077</v>
      </c>
      <c r="D14" s="10">
        <v>563</v>
      </c>
      <c r="E14" s="10">
        <v>1103</v>
      </c>
      <c r="F14" s="10">
        <v>522</v>
      </c>
      <c r="G14" s="10">
        <v>349</v>
      </c>
      <c r="H14" s="10">
        <v>1753</v>
      </c>
      <c r="I14" s="10">
        <f t="shared" si="0"/>
        <v>9919</v>
      </c>
      <c r="J14" s="16">
        <f t="shared" si="1"/>
        <v>27.175342465753424</v>
      </c>
      <c r="M14" s="19">
        <v>42095</v>
      </c>
      <c r="N14" s="10">
        <v>138</v>
      </c>
      <c r="O14" s="10">
        <v>371</v>
      </c>
      <c r="P14" s="10">
        <v>114</v>
      </c>
      <c r="Q14" s="10">
        <v>242</v>
      </c>
      <c r="R14" s="10">
        <v>307</v>
      </c>
      <c r="S14" s="20">
        <v>313</v>
      </c>
      <c r="T14" s="10">
        <v>162</v>
      </c>
      <c r="U14" s="10">
        <v>420</v>
      </c>
      <c r="V14" s="10">
        <f t="shared" si="2"/>
        <v>2067</v>
      </c>
      <c r="W14" s="16">
        <f t="shared" si="3"/>
        <v>5.6630136986301371</v>
      </c>
    </row>
    <row r="15" spans="1:23">
      <c r="A15" s="17">
        <v>42248</v>
      </c>
      <c r="B15" s="10">
        <v>500</v>
      </c>
      <c r="C15" s="10">
        <v>4900</v>
      </c>
      <c r="D15" s="10">
        <v>499</v>
      </c>
      <c r="E15" s="10">
        <v>1078</v>
      </c>
      <c r="F15" s="10">
        <v>498</v>
      </c>
      <c r="G15" s="10">
        <v>329</v>
      </c>
      <c r="H15" s="10">
        <v>1692</v>
      </c>
      <c r="I15" s="10">
        <f t="shared" si="0"/>
        <v>9496</v>
      </c>
      <c r="J15" s="16">
        <f t="shared" si="1"/>
        <v>26.016438356164382</v>
      </c>
      <c r="M15" s="19">
        <v>42125</v>
      </c>
      <c r="N15" s="10">
        <v>144</v>
      </c>
      <c r="O15" s="10">
        <v>381</v>
      </c>
      <c r="P15" s="10">
        <v>114</v>
      </c>
      <c r="Q15" s="10">
        <v>254</v>
      </c>
      <c r="R15" s="10">
        <v>318</v>
      </c>
      <c r="S15" s="10">
        <v>323</v>
      </c>
      <c r="T15" s="10">
        <v>168</v>
      </c>
      <c r="U15" s="10">
        <v>433</v>
      </c>
      <c r="V15" s="10">
        <f t="shared" si="2"/>
        <v>2135</v>
      </c>
      <c r="W15" s="16">
        <f t="shared" si="3"/>
        <v>5.8493150684931505</v>
      </c>
    </row>
    <row r="16" spans="1:23">
      <c r="A16" s="17">
        <v>42278</v>
      </c>
      <c r="B16" s="10">
        <v>549</v>
      </c>
      <c r="C16" s="10">
        <v>4996</v>
      </c>
      <c r="D16" s="10">
        <v>557</v>
      </c>
      <c r="E16" s="10">
        <v>1112</v>
      </c>
      <c r="F16" s="10">
        <v>503</v>
      </c>
      <c r="G16" s="10">
        <v>345</v>
      </c>
      <c r="H16" s="10">
        <v>1735</v>
      </c>
      <c r="I16" s="10">
        <f t="shared" si="0"/>
        <v>9797</v>
      </c>
      <c r="J16" s="16">
        <f t="shared" si="1"/>
        <v>26.841095890410958</v>
      </c>
      <c r="M16" s="19">
        <v>42156</v>
      </c>
      <c r="N16" s="10">
        <v>140</v>
      </c>
      <c r="O16" s="10">
        <v>365</v>
      </c>
      <c r="P16" s="10">
        <v>104</v>
      </c>
      <c r="Q16" s="10">
        <v>244</v>
      </c>
      <c r="R16" s="10">
        <v>310</v>
      </c>
      <c r="S16" s="10">
        <v>313</v>
      </c>
      <c r="T16" s="10">
        <v>163</v>
      </c>
      <c r="U16" s="10">
        <v>420</v>
      </c>
      <c r="V16" s="10">
        <f t="shared" si="2"/>
        <v>2059</v>
      </c>
      <c r="W16" s="16">
        <f t="shared" si="3"/>
        <v>5.6410958904109592</v>
      </c>
    </row>
    <row r="17" spans="1:23">
      <c r="A17" s="17">
        <v>42309</v>
      </c>
      <c r="B17" s="10">
        <v>517</v>
      </c>
      <c r="C17" s="10">
        <v>4938</v>
      </c>
      <c r="D17" s="10">
        <v>497</v>
      </c>
      <c r="E17" s="10">
        <v>1091</v>
      </c>
      <c r="F17" s="10">
        <v>472</v>
      </c>
      <c r="G17" s="10">
        <v>349</v>
      </c>
      <c r="H17" s="10">
        <v>1708</v>
      </c>
      <c r="I17" s="10">
        <f t="shared" si="0"/>
        <v>9572</v>
      </c>
      <c r="J17" s="16">
        <f t="shared" si="1"/>
        <v>26.224657534246575</v>
      </c>
      <c r="M17" s="19">
        <v>42186</v>
      </c>
      <c r="N17" s="10">
        <v>142</v>
      </c>
      <c r="O17" s="10">
        <v>374</v>
      </c>
      <c r="P17" s="10">
        <v>103</v>
      </c>
      <c r="Q17" s="10">
        <v>251</v>
      </c>
      <c r="R17" s="10">
        <v>317</v>
      </c>
      <c r="S17" s="10">
        <v>322</v>
      </c>
      <c r="T17" s="10">
        <v>169</v>
      </c>
      <c r="U17" s="10">
        <v>430</v>
      </c>
      <c r="V17" s="10">
        <f t="shared" si="2"/>
        <v>2108</v>
      </c>
      <c r="W17" s="16">
        <f t="shared" si="3"/>
        <v>5.7753424657534245</v>
      </c>
    </row>
    <row r="18" spans="1:23">
      <c r="A18" s="17">
        <v>42339</v>
      </c>
      <c r="B18" s="10">
        <v>546</v>
      </c>
      <c r="C18" s="10">
        <v>5002</v>
      </c>
      <c r="D18" s="10">
        <v>531</v>
      </c>
      <c r="E18" s="10">
        <v>1083</v>
      </c>
      <c r="F18" s="10">
        <v>496</v>
      </c>
      <c r="G18" s="10">
        <v>352</v>
      </c>
      <c r="H18" s="10">
        <v>1771</v>
      </c>
      <c r="I18" s="10">
        <f t="shared" si="0"/>
        <v>9781</v>
      </c>
      <c r="J18" s="16">
        <f t="shared" si="1"/>
        <v>26.797260273972604</v>
      </c>
      <c r="M18" s="19">
        <v>42217</v>
      </c>
      <c r="N18" s="10">
        <v>145</v>
      </c>
      <c r="O18" s="10">
        <v>378</v>
      </c>
      <c r="P18" s="10">
        <v>112</v>
      </c>
      <c r="Q18" s="10">
        <v>257</v>
      </c>
      <c r="R18" s="10">
        <v>316</v>
      </c>
      <c r="S18" s="10">
        <v>322</v>
      </c>
      <c r="T18" s="10">
        <v>168</v>
      </c>
      <c r="U18" s="10">
        <v>433</v>
      </c>
      <c r="V18" s="10">
        <f t="shared" si="2"/>
        <v>2131</v>
      </c>
      <c r="W18" s="16">
        <f t="shared" si="3"/>
        <v>5.838356164383562</v>
      </c>
    </row>
    <row r="19" spans="1:23">
      <c r="A19" s="17">
        <v>42370</v>
      </c>
      <c r="B19" s="10"/>
      <c r="C19" s="10"/>
      <c r="D19" s="10"/>
      <c r="E19" s="10"/>
      <c r="F19" s="10"/>
      <c r="G19" s="10"/>
      <c r="H19" s="10"/>
      <c r="I19" s="10"/>
      <c r="J19" s="10"/>
      <c r="M19" s="19">
        <v>42248</v>
      </c>
      <c r="N19" s="10">
        <v>140</v>
      </c>
      <c r="O19" s="10">
        <v>366</v>
      </c>
      <c r="P19" s="10">
        <v>104</v>
      </c>
      <c r="Q19" s="10">
        <v>256</v>
      </c>
      <c r="R19" s="10">
        <v>308</v>
      </c>
      <c r="S19" s="10">
        <v>315</v>
      </c>
      <c r="T19" s="10">
        <v>163</v>
      </c>
      <c r="U19" s="10">
        <v>419</v>
      </c>
      <c r="V19" s="10">
        <f t="shared" si="2"/>
        <v>2071</v>
      </c>
      <c r="W19" s="16">
        <f t="shared" si="3"/>
        <v>5.6739726027397257</v>
      </c>
    </row>
    <row r="20" spans="1:23">
      <c r="A20" s="17">
        <v>42401</v>
      </c>
      <c r="B20" s="10"/>
      <c r="C20" s="10"/>
      <c r="D20" s="10"/>
      <c r="E20" s="10"/>
      <c r="F20" s="10"/>
      <c r="G20" s="10"/>
      <c r="H20" s="10"/>
      <c r="I20" s="10"/>
      <c r="J20" s="10"/>
      <c r="M20" s="19">
        <v>42278</v>
      </c>
      <c r="N20" s="10">
        <v>143</v>
      </c>
      <c r="O20" s="10">
        <v>377</v>
      </c>
      <c r="P20" s="10">
        <v>110</v>
      </c>
      <c r="Q20" s="10">
        <v>267</v>
      </c>
      <c r="R20" s="10">
        <v>317</v>
      </c>
      <c r="S20" s="10">
        <v>328</v>
      </c>
      <c r="T20" s="10">
        <v>169</v>
      </c>
      <c r="U20" s="10">
        <v>433</v>
      </c>
      <c r="V20" s="10">
        <f t="shared" si="2"/>
        <v>2144</v>
      </c>
      <c r="W20" s="16">
        <f t="shared" si="3"/>
        <v>5.8739726027397259</v>
      </c>
    </row>
    <row r="21" spans="1:23">
      <c r="A21" s="17">
        <v>42430</v>
      </c>
      <c r="B21" s="10"/>
      <c r="C21" s="10"/>
      <c r="D21" s="10"/>
      <c r="E21" s="10"/>
      <c r="F21" s="10"/>
      <c r="G21" s="10"/>
      <c r="H21" s="10"/>
      <c r="I21" s="10"/>
      <c r="J21" s="10"/>
      <c r="M21" s="19">
        <v>42309</v>
      </c>
      <c r="N21" s="10">
        <v>139</v>
      </c>
      <c r="O21" s="10">
        <v>369</v>
      </c>
      <c r="P21" s="10">
        <v>106</v>
      </c>
      <c r="Q21" s="10">
        <v>262</v>
      </c>
      <c r="R21" s="10">
        <v>313</v>
      </c>
      <c r="S21" s="10">
        <v>320</v>
      </c>
      <c r="T21" s="10">
        <v>162</v>
      </c>
      <c r="U21" s="10">
        <v>420</v>
      </c>
      <c r="V21" s="10">
        <f t="shared" si="2"/>
        <v>2091</v>
      </c>
      <c r="W21" s="16">
        <f t="shared" si="3"/>
        <v>5.7287671232876711</v>
      </c>
    </row>
    <row r="22" spans="1:23">
      <c r="A22" s="17">
        <v>42461</v>
      </c>
      <c r="B22" s="10"/>
      <c r="C22" s="10"/>
      <c r="D22" s="10"/>
      <c r="E22" s="10"/>
      <c r="F22" s="10"/>
      <c r="G22" s="10"/>
      <c r="H22" s="10"/>
      <c r="I22" s="10"/>
      <c r="J22" s="10"/>
      <c r="M22" s="19">
        <v>42339</v>
      </c>
      <c r="N22" s="10">
        <v>143</v>
      </c>
      <c r="O22" s="10">
        <v>371</v>
      </c>
      <c r="P22" s="10">
        <v>111</v>
      </c>
      <c r="Q22" s="10">
        <v>273</v>
      </c>
      <c r="R22" s="10">
        <v>321</v>
      </c>
      <c r="S22" s="10">
        <v>335</v>
      </c>
      <c r="T22" s="10">
        <v>168</v>
      </c>
      <c r="U22" s="10">
        <v>434</v>
      </c>
      <c r="V22" s="10">
        <f t="shared" si="2"/>
        <v>2156</v>
      </c>
      <c r="W22" s="16">
        <f t="shared" si="3"/>
        <v>5.9068493150684933</v>
      </c>
    </row>
    <row r="25" spans="1:23">
      <c r="B25" t="s">
        <v>66</v>
      </c>
      <c r="H25" t="s">
        <v>77</v>
      </c>
      <c r="N25" t="s">
        <v>97</v>
      </c>
    </row>
    <row r="26" spans="1:23" ht="42.75" customHeight="1">
      <c r="A26" s="33" t="s">
        <v>67</v>
      </c>
      <c r="B26" s="33"/>
      <c r="C26" s="33"/>
      <c r="D26" s="33"/>
      <c r="E26" s="33"/>
      <c r="G26" s="34" t="s">
        <v>78</v>
      </c>
      <c r="H26" s="34"/>
      <c r="I26" s="34"/>
      <c r="J26" s="34"/>
      <c r="K26" s="34"/>
    </row>
    <row r="27" spans="1:23">
      <c r="A27" s="21" t="s">
        <v>68</v>
      </c>
      <c r="B27" s="24" t="s">
        <v>69</v>
      </c>
      <c r="C27" s="25" t="s">
        <v>69</v>
      </c>
      <c r="D27" s="24" t="s">
        <v>69</v>
      </c>
      <c r="E27" s="26" t="s">
        <v>69</v>
      </c>
      <c r="G27" s="36" t="s">
        <v>68</v>
      </c>
      <c r="H27" s="42" t="s">
        <v>79</v>
      </c>
      <c r="I27" s="37" t="s">
        <v>81</v>
      </c>
      <c r="J27" s="42" t="s">
        <v>83</v>
      </c>
      <c r="K27" s="38" t="s">
        <v>84</v>
      </c>
      <c r="M27" s="36" t="s">
        <v>68</v>
      </c>
      <c r="N27" s="42" t="s">
        <v>79</v>
      </c>
      <c r="O27" s="37" t="s">
        <v>81</v>
      </c>
      <c r="P27" s="42" t="s">
        <v>83</v>
      </c>
      <c r="Q27" s="38" t="s">
        <v>84</v>
      </c>
    </row>
    <row r="28" spans="1:23">
      <c r="A28" s="22"/>
      <c r="B28" s="27" t="s">
        <v>70</v>
      </c>
      <c r="C28" s="28" t="s">
        <v>72</v>
      </c>
      <c r="D28" s="27" t="s">
        <v>73</v>
      </c>
      <c r="E28" s="29" t="s">
        <v>75</v>
      </c>
      <c r="G28" s="39"/>
      <c r="H28" s="43" t="s">
        <v>80</v>
      </c>
      <c r="I28" s="40" t="s">
        <v>82</v>
      </c>
      <c r="J28" s="43" t="s">
        <v>74</v>
      </c>
      <c r="K28" s="41" t="s">
        <v>74</v>
      </c>
      <c r="M28" s="39"/>
      <c r="N28" s="43" t="s">
        <v>99</v>
      </c>
      <c r="O28" s="40" t="s">
        <v>82</v>
      </c>
      <c r="P28" s="43" t="s">
        <v>74</v>
      </c>
      <c r="Q28" s="41" t="s">
        <v>74</v>
      </c>
    </row>
    <row r="29" spans="1:23">
      <c r="A29" s="23"/>
      <c r="B29" s="30" t="s">
        <v>71</v>
      </c>
      <c r="C29" s="31" t="s">
        <v>71</v>
      </c>
      <c r="D29" s="30" t="s">
        <v>74</v>
      </c>
      <c r="E29" s="32" t="s">
        <v>74</v>
      </c>
      <c r="G29" s="35" t="s">
        <v>85</v>
      </c>
      <c r="H29" s="10">
        <v>44728</v>
      </c>
      <c r="I29" s="10">
        <v>261047</v>
      </c>
      <c r="J29" s="10">
        <v>-2.2000000000000002</v>
      </c>
      <c r="K29" s="10">
        <v>1.9</v>
      </c>
      <c r="M29" s="35" t="s">
        <v>85</v>
      </c>
      <c r="N29" s="10">
        <v>38</v>
      </c>
      <c r="O29" s="10">
        <v>1135028</v>
      </c>
      <c r="P29" s="10">
        <v>42</v>
      </c>
      <c r="Q29" s="10">
        <v>26</v>
      </c>
    </row>
    <row r="30" spans="1:23">
      <c r="A30" s="17">
        <v>42339</v>
      </c>
      <c r="B30" s="10">
        <v>495.1</v>
      </c>
      <c r="C30" s="10">
        <v>5236.3999999999996</v>
      </c>
      <c r="D30" s="10">
        <v>14.6</v>
      </c>
      <c r="E30" s="10">
        <v>9</v>
      </c>
      <c r="G30" s="35" t="s">
        <v>86</v>
      </c>
      <c r="H30" s="10">
        <v>29093</v>
      </c>
      <c r="I30" s="10">
        <v>187887</v>
      </c>
      <c r="J30" s="10">
        <v>-7.5</v>
      </c>
      <c r="K30" s="10">
        <v>-1.3</v>
      </c>
      <c r="M30" s="35" t="s">
        <v>86</v>
      </c>
      <c r="N30" s="10">
        <v>39</v>
      </c>
      <c r="O30" s="10">
        <v>1223621</v>
      </c>
      <c r="P30" s="10">
        <v>187.6</v>
      </c>
      <c r="Q30" s="10">
        <v>163.30000000000001</v>
      </c>
    </row>
    <row r="31" spans="1:23">
      <c r="A31" s="17">
        <v>42309</v>
      </c>
      <c r="B31" s="10">
        <v>473.9</v>
      </c>
      <c r="C31" s="10">
        <v>4734.8</v>
      </c>
      <c r="D31" s="10">
        <v>8</v>
      </c>
      <c r="E31" s="10">
        <v>8.3000000000000007</v>
      </c>
      <c r="G31" s="35" t="s">
        <v>87</v>
      </c>
      <c r="H31" s="10">
        <v>41683</v>
      </c>
      <c r="I31" s="10">
        <v>249675</v>
      </c>
      <c r="J31" s="10">
        <v>15.1</v>
      </c>
      <c r="K31" s="10">
        <v>14.4</v>
      </c>
      <c r="M31" s="35" t="s">
        <v>87</v>
      </c>
      <c r="N31" s="10">
        <v>30</v>
      </c>
      <c r="O31" s="10">
        <v>893368</v>
      </c>
      <c r="P31" s="10">
        <v>-5.2</v>
      </c>
      <c r="Q31" s="10">
        <v>-17</v>
      </c>
    </row>
    <row r="32" spans="1:23">
      <c r="A32" s="17">
        <v>42278</v>
      </c>
      <c r="B32" s="10">
        <v>457.3</v>
      </c>
      <c r="C32" s="10">
        <v>4258.8</v>
      </c>
      <c r="D32" s="10">
        <v>6.9</v>
      </c>
      <c r="E32" s="10">
        <v>8.5</v>
      </c>
      <c r="G32" s="35" t="s">
        <v>88</v>
      </c>
      <c r="H32" s="10">
        <v>41166</v>
      </c>
      <c r="I32" s="10">
        <v>256539</v>
      </c>
      <c r="J32" s="10">
        <v>-7.5</v>
      </c>
      <c r="K32" s="10">
        <v>-5</v>
      </c>
      <c r="M32" s="35" t="s">
        <v>88</v>
      </c>
      <c r="N32" s="10">
        <v>38</v>
      </c>
      <c r="O32" s="10">
        <v>1211519</v>
      </c>
      <c r="P32" s="10">
        <v>39.9</v>
      </c>
      <c r="Q32" s="10">
        <v>36</v>
      </c>
    </row>
    <row r="33" spans="1:17">
      <c r="A33" s="17">
        <v>42248</v>
      </c>
      <c r="B33" s="10">
        <v>461.8</v>
      </c>
      <c r="C33" s="10">
        <v>3820.6</v>
      </c>
      <c r="D33" s="10">
        <v>5</v>
      </c>
      <c r="E33" s="10">
        <v>6.2</v>
      </c>
      <c r="G33" s="35" t="s">
        <v>89</v>
      </c>
      <c r="H33" s="10">
        <v>35555</v>
      </c>
      <c r="I33" s="10">
        <v>219972</v>
      </c>
      <c r="J33" s="10">
        <v>-17.8</v>
      </c>
      <c r="K33" s="10">
        <v>-14.2</v>
      </c>
      <c r="M33" s="35" t="s">
        <v>89</v>
      </c>
      <c r="N33" s="10">
        <v>36</v>
      </c>
      <c r="O33" s="10">
        <v>1131436</v>
      </c>
      <c r="P33" s="10">
        <v>34.1</v>
      </c>
      <c r="Q33" s="10">
        <v>29.8</v>
      </c>
    </row>
    <row r="34" spans="1:17">
      <c r="A34" s="17">
        <v>42217</v>
      </c>
      <c r="B34" s="10">
        <v>453.6</v>
      </c>
      <c r="C34" s="10">
        <v>3351.9</v>
      </c>
      <c r="D34" s="10">
        <v>9</v>
      </c>
      <c r="E34" s="10">
        <v>9.1</v>
      </c>
      <c r="G34" s="35" t="s">
        <v>90</v>
      </c>
      <c r="H34" s="10">
        <v>38328</v>
      </c>
      <c r="I34" s="10">
        <v>229224</v>
      </c>
      <c r="J34" s="10">
        <v>-10.7</v>
      </c>
      <c r="K34" s="10">
        <v>-9.6999999999999993</v>
      </c>
      <c r="M34" s="35" t="s">
        <v>90</v>
      </c>
      <c r="N34" s="10">
        <v>41</v>
      </c>
      <c r="O34" s="10">
        <v>1379494</v>
      </c>
      <c r="P34" s="10">
        <v>46.7</v>
      </c>
      <c r="Q34" s="10">
        <v>55.6</v>
      </c>
    </row>
    <row r="35" spans="1:17">
      <c r="A35" s="17">
        <v>42186</v>
      </c>
      <c r="B35" s="10">
        <v>444.2</v>
      </c>
      <c r="C35" s="10">
        <v>2889.6</v>
      </c>
      <c r="D35" s="10">
        <v>8.3000000000000007</v>
      </c>
      <c r="E35" s="10">
        <v>9.1999999999999993</v>
      </c>
      <c r="G35" s="35" t="s">
        <v>91</v>
      </c>
      <c r="H35" s="10">
        <v>44403</v>
      </c>
      <c r="I35" s="10">
        <v>259301</v>
      </c>
      <c r="J35" s="10">
        <v>0.1</v>
      </c>
      <c r="K35" s="10">
        <v>-4.7</v>
      </c>
      <c r="M35" s="35" t="s">
        <v>91</v>
      </c>
      <c r="N35" s="10">
        <v>32</v>
      </c>
      <c r="O35" s="10">
        <v>986380</v>
      </c>
      <c r="P35" s="10">
        <v>0.3</v>
      </c>
      <c r="Q35" s="10">
        <v>-2.9</v>
      </c>
    </row>
    <row r="36" spans="1:17">
      <c r="A36" s="17">
        <v>42156</v>
      </c>
      <c r="B36" s="10">
        <v>472.2</v>
      </c>
      <c r="C36" s="10">
        <v>2467.6999999999998</v>
      </c>
      <c r="D36" s="10">
        <v>8.3000000000000007</v>
      </c>
      <c r="E36" s="10">
        <v>10.199999999999999</v>
      </c>
      <c r="G36" s="35" t="s">
        <v>92</v>
      </c>
      <c r="H36" s="10">
        <v>40174</v>
      </c>
      <c r="I36" s="10">
        <v>235030</v>
      </c>
      <c r="J36" s="10">
        <v>4.7</v>
      </c>
      <c r="K36" s="10">
        <v>-1.6</v>
      </c>
      <c r="M36" s="35" t="s">
        <v>92</v>
      </c>
      <c r="N36" s="10">
        <v>30</v>
      </c>
      <c r="O36" s="10">
        <v>901076</v>
      </c>
      <c r="P36" s="10">
        <v>-8.3000000000000007</v>
      </c>
      <c r="Q36" s="10">
        <v>-11</v>
      </c>
    </row>
    <row r="37" spans="1:17">
      <c r="A37" s="17">
        <v>42125</v>
      </c>
      <c r="B37" s="10">
        <v>444.2</v>
      </c>
      <c r="C37" s="10">
        <v>1990</v>
      </c>
      <c r="D37" s="10">
        <v>8.3000000000000007</v>
      </c>
      <c r="E37" s="10">
        <v>10.7</v>
      </c>
      <c r="G37" s="35" t="s">
        <v>93</v>
      </c>
      <c r="H37" s="10">
        <v>43384</v>
      </c>
      <c r="I37" s="10">
        <v>250867</v>
      </c>
      <c r="J37" s="10">
        <v>-5.6</v>
      </c>
      <c r="K37" s="10">
        <v>-10.4</v>
      </c>
      <c r="M37" s="35" t="s">
        <v>93</v>
      </c>
      <c r="N37" s="10">
        <v>30</v>
      </c>
      <c r="O37" s="10">
        <v>929674</v>
      </c>
      <c r="P37" s="10">
        <v>-10.9</v>
      </c>
      <c r="Q37" s="10">
        <v>-16.899999999999999</v>
      </c>
    </row>
    <row r="38" spans="1:17">
      <c r="A38" s="17">
        <v>42095</v>
      </c>
      <c r="B38" s="10">
        <v>428</v>
      </c>
      <c r="C38" s="10">
        <v>1552.2</v>
      </c>
      <c r="D38" s="10">
        <v>4.7</v>
      </c>
      <c r="E38" s="10">
        <v>12.3</v>
      </c>
      <c r="G38" s="35" t="s">
        <v>94</v>
      </c>
      <c r="H38" s="10">
        <v>37731</v>
      </c>
      <c r="I38" s="10">
        <v>211626</v>
      </c>
      <c r="J38" s="10">
        <v>-6.2</v>
      </c>
      <c r="K38" s="10">
        <v>-15.3</v>
      </c>
      <c r="M38" s="35" t="s">
        <v>94</v>
      </c>
      <c r="N38" s="10">
        <v>28</v>
      </c>
      <c r="O38" s="10">
        <v>829864</v>
      </c>
      <c r="P38" s="10">
        <v>-11</v>
      </c>
      <c r="Q38" s="10">
        <v>-19.3</v>
      </c>
    </row>
    <row r="39" spans="1:17">
      <c r="A39" s="17">
        <v>42064</v>
      </c>
      <c r="B39" s="10">
        <v>415.7</v>
      </c>
      <c r="C39" s="10">
        <v>1136.5999999999999</v>
      </c>
      <c r="D39" s="10">
        <v>8.6999999999999993</v>
      </c>
      <c r="E39" s="10">
        <v>16</v>
      </c>
      <c r="G39" s="35" t="s">
        <v>95</v>
      </c>
      <c r="H39" s="10">
        <v>36077</v>
      </c>
      <c r="I39" s="10">
        <v>214347</v>
      </c>
      <c r="J39" s="10">
        <v>-10.3</v>
      </c>
      <c r="K39" s="10">
        <v>-13.8</v>
      </c>
      <c r="M39" s="35" t="s">
        <v>95</v>
      </c>
      <c r="N39" s="10">
        <v>40</v>
      </c>
      <c r="O39" s="10">
        <v>1310419</v>
      </c>
      <c r="P39" s="10">
        <v>18.899999999999999</v>
      </c>
      <c r="Q39" s="10">
        <v>25.8</v>
      </c>
    </row>
    <row r="40" spans="1:17">
      <c r="A40" s="17">
        <v>42036</v>
      </c>
      <c r="B40" s="10" t="s">
        <v>76</v>
      </c>
      <c r="C40" s="10">
        <v>692.9</v>
      </c>
      <c r="D40" s="10" t="s">
        <v>76</v>
      </c>
      <c r="E40" s="10">
        <v>20.5</v>
      </c>
      <c r="G40" s="35" t="s">
        <v>96</v>
      </c>
      <c r="H40" s="10">
        <v>39774</v>
      </c>
      <c r="I40" s="10">
        <v>229663</v>
      </c>
      <c r="J40" s="10">
        <v>-14.7</v>
      </c>
      <c r="K40" s="10">
        <v>-18.7</v>
      </c>
      <c r="M40" s="35" t="s">
        <v>96</v>
      </c>
      <c r="N40" s="10">
        <v>37</v>
      </c>
      <c r="O40" s="10">
        <v>1046626</v>
      </c>
      <c r="P40" s="10">
        <v>-24.5</v>
      </c>
      <c r="Q40" s="10">
        <v>-36.200000000000003</v>
      </c>
    </row>
    <row r="41" spans="1:17">
      <c r="A41" s="17">
        <v>42005</v>
      </c>
      <c r="B41" s="10"/>
      <c r="C41" s="10"/>
      <c r="D41" s="10"/>
      <c r="E41" s="10"/>
    </row>
  </sheetData>
  <mergeCells count="11">
    <mergeCell ref="A27:A29"/>
    <mergeCell ref="A26:E26"/>
    <mergeCell ref="G26:K26"/>
    <mergeCell ref="G27:G28"/>
    <mergeCell ref="M27:M28"/>
    <mergeCell ref="A2:A3"/>
    <mergeCell ref="B2:J2"/>
    <mergeCell ref="A1:J1"/>
    <mergeCell ref="M2:M3"/>
    <mergeCell ref="N2:W2"/>
    <mergeCell ref="M1:W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出口</vt:lpstr>
      <vt:lpstr>进口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2016-08-29T09:16:36Z</dcterms:modified>
</cp:coreProperties>
</file>