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D:\【工作盘】营销运营管理\#任务管理\2.月度任务\2-1.月度任务跟进\#内控跟进\"/>
    </mc:Choice>
  </mc:AlternateContent>
  <xr:revisionPtr revIDLastSave="0" documentId="13_ncr:1_{B3A35C12-F74A-426B-A0C1-1281002D8645}" xr6:coauthVersionLast="36" xr6:coauthVersionMax="36" xr10:uidLastSave="{00000000-0000-0000-0000-000000000000}"/>
  <bookViews>
    <workbookView xWindow="0" yWindow="0" windowWidth="23040" windowHeight="9012" xr2:uid="{00000000-000D-0000-FFFF-FFFF00000000}"/>
  </bookViews>
  <sheets>
    <sheet name="周会" sheetId="6" r:id="rId1"/>
    <sheet name="7月摸底" sheetId="8" r:id="rId2"/>
    <sheet name="01月度摸底" sheetId="1" r:id="rId3"/>
    <sheet name="7月" sheetId="2" state="hidden" r:id="rId4"/>
    <sheet name="02任务进度分析及追赶动作" sheetId="3" state="hidden" r:id="rId5"/>
    <sheet name="03需支持事项" sheetId="4" r:id="rId6"/>
    <sheet name="04-紧急付款" sheetId="5" r:id="rId7"/>
  </sheets>
  <definedNames>
    <definedName name="_xlnm._FilterDatabase" localSheetId="6" hidden="1">'04-紧急付款'!$A$2:$AA$80</definedName>
    <definedName name="_xlnm._FilterDatabase" localSheetId="0" hidden="1">周会!$A$4:$AI$28</definedName>
  </definedNames>
  <calcPr calcId="191029"/>
</workbook>
</file>

<file path=xl/calcChain.xml><?xml version="1.0" encoding="utf-8"?>
<calcChain xmlns="http://schemas.openxmlformats.org/spreadsheetml/2006/main">
  <c r="N17" i="8" l="1"/>
  <c r="N16" i="8"/>
  <c r="N15" i="8"/>
  <c r="N14" i="8"/>
  <c r="N13" i="8"/>
  <c r="N12" i="8"/>
  <c r="N11" i="8"/>
  <c r="N10" i="8"/>
  <c r="N9" i="8"/>
  <c r="N8" i="8"/>
  <c r="N7" i="8"/>
  <c r="N6" i="8"/>
  <c r="N5" i="8"/>
  <c r="N4" i="8"/>
  <c r="N3" i="8"/>
  <c r="G17" i="8"/>
  <c r="G16" i="8"/>
  <c r="G14" i="8"/>
  <c r="G13" i="8"/>
  <c r="G12" i="8"/>
  <c r="G11" i="8"/>
  <c r="G10" i="8"/>
  <c r="G9" i="8"/>
  <c r="G8" i="8"/>
  <c r="G7" i="8"/>
  <c r="G6" i="8"/>
  <c r="G5" i="8"/>
  <c r="G4" i="8"/>
  <c r="G3" i="8"/>
  <c r="E3" i="8"/>
  <c r="F3" i="8"/>
  <c r="F4" i="8"/>
  <c r="E4" i="8"/>
  <c r="E18" i="8"/>
  <c r="M15" i="8" l="1"/>
  <c r="L15" i="8"/>
  <c r="F15" i="8"/>
  <c r="G15" i="8" s="1"/>
  <c r="E15" i="8"/>
  <c r="M30" i="6" l="1"/>
  <c r="U12" i="6" l="1"/>
  <c r="U11" i="6"/>
  <c r="X11" i="6" s="1"/>
  <c r="N27" i="6"/>
  <c r="N28" i="6"/>
  <c r="M12" i="6"/>
  <c r="M7" i="6"/>
  <c r="H10" i="6"/>
  <c r="H7" i="6" l="1"/>
  <c r="A4" i="4" l="1"/>
  <c r="A5" i="4"/>
  <c r="A6" i="4"/>
  <c r="A7" i="4"/>
  <c r="A8" i="4"/>
  <c r="A9" i="4"/>
  <c r="A10" i="4"/>
  <c r="A11" i="4"/>
  <c r="A12" i="4"/>
  <c r="A13" i="4"/>
  <c r="A14" i="4"/>
  <c r="A15" i="4"/>
  <c r="A16" i="4"/>
  <c r="A17" i="4"/>
  <c r="A18" i="4"/>
  <c r="A19" i="4"/>
  <c r="G6" i="6" l="1"/>
  <c r="M6" i="6" s="1"/>
  <c r="G31" i="6" l="1"/>
  <c r="M31" i="6" s="1"/>
  <c r="AE6" i="6"/>
  <c r="AE7" i="6"/>
  <c r="AE8" i="6"/>
  <c r="AE9" i="6"/>
  <c r="AE10" i="6"/>
  <c r="AE11" i="6"/>
  <c r="AE12" i="6"/>
  <c r="AE13" i="6"/>
  <c r="AE14" i="6"/>
  <c r="AE15" i="6"/>
  <c r="AE16" i="6"/>
  <c r="AE17" i="6"/>
  <c r="AE18" i="6"/>
  <c r="AE19" i="6"/>
  <c r="AE20" i="6"/>
  <c r="AE21" i="6"/>
  <c r="AE22" i="6"/>
  <c r="AE23" i="6"/>
  <c r="AE24" i="6"/>
  <c r="AE25" i="6"/>
  <c r="AE26" i="6"/>
  <c r="AE27" i="6"/>
  <c r="AE28" i="6"/>
  <c r="X26" i="6"/>
  <c r="Z26" i="6" s="1"/>
  <c r="X27" i="6"/>
  <c r="Z27" i="6" s="1"/>
  <c r="X28" i="6"/>
  <c r="Z28" i="6" s="1"/>
  <c r="X30" i="6"/>
  <c r="Z30" i="6" s="1"/>
  <c r="U30" i="6"/>
  <c r="Z21" i="6"/>
  <c r="Z20" i="6"/>
  <c r="Z19" i="6"/>
  <c r="J28" i="6"/>
  <c r="J30" i="6"/>
  <c r="J25" i="6"/>
  <c r="J24" i="6"/>
  <c r="J23" i="6"/>
  <c r="J22" i="6"/>
  <c r="J21" i="6"/>
  <c r="J20" i="6"/>
  <c r="J19" i="6"/>
  <c r="J18" i="6"/>
  <c r="J17" i="6"/>
  <c r="J16" i="6"/>
  <c r="J15" i="6"/>
  <c r="J14" i="6"/>
  <c r="J13" i="6"/>
  <c r="J12" i="6"/>
  <c r="J11" i="6"/>
  <c r="J10" i="6"/>
  <c r="J9" i="6"/>
  <c r="J8" i="6"/>
  <c r="J7" i="6"/>
  <c r="J6" i="6"/>
  <c r="H31" i="6" l="1"/>
  <c r="J31" i="6" s="1"/>
  <c r="H27" i="6"/>
  <c r="H26" i="6"/>
  <c r="J26" i="6" s="1"/>
  <c r="V5" i="6"/>
  <c r="U5" i="6"/>
  <c r="T5" i="6"/>
  <c r="T4" i="6" s="1"/>
  <c r="S5" i="6"/>
  <c r="R5" i="6"/>
  <c r="R4" i="6" s="1"/>
  <c r="Q5" i="6"/>
  <c r="Q4" i="6" s="1"/>
  <c r="F5" i="6"/>
  <c r="F4" i="6" s="1"/>
  <c r="E5" i="6"/>
  <c r="D5" i="6"/>
  <c r="D4" i="6" s="1"/>
  <c r="C5" i="6"/>
  <c r="B5" i="6"/>
  <c r="B4" i="6" s="1"/>
  <c r="N26" i="6"/>
  <c r="G30" i="6"/>
  <c r="N30" i="6" s="1"/>
  <c r="AC7" i="6"/>
  <c r="U10" i="6"/>
  <c r="AC10" i="6" s="1"/>
  <c r="U6" i="6"/>
  <c r="AC6" i="6" s="1"/>
  <c r="X24" i="6"/>
  <c r="N31" i="6"/>
  <c r="N18" i="6"/>
  <c r="N12" i="6"/>
  <c r="P12" i="6" s="1"/>
  <c r="N11" i="6"/>
  <c r="P11" i="6" s="1"/>
  <c r="N7" i="6"/>
  <c r="P7" i="6" s="1"/>
  <c r="N6" i="6"/>
  <c r="G25" i="6"/>
  <c r="M25" i="6" s="1"/>
  <c r="N25" i="6" s="1"/>
  <c r="P25" i="6" s="1"/>
  <c r="G24" i="6"/>
  <c r="M24" i="6" s="1"/>
  <c r="N24" i="6" s="1"/>
  <c r="P24" i="6" s="1"/>
  <c r="G23" i="6"/>
  <c r="M23" i="6" s="1"/>
  <c r="N23" i="6" s="1"/>
  <c r="O23" i="6" s="1"/>
  <c r="G22" i="6"/>
  <c r="M22" i="6" s="1"/>
  <c r="N22" i="6" s="1"/>
  <c r="O22" i="6" s="1"/>
  <c r="G21" i="6"/>
  <c r="M21" i="6" s="1"/>
  <c r="N21" i="6" s="1"/>
  <c r="G20" i="6"/>
  <c r="M20" i="6" s="1"/>
  <c r="N20" i="6" s="1"/>
  <c r="G19" i="6"/>
  <c r="M19" i="6" s="1"/>
  <c r="N19" i="6" s="1"/>
  <c r="G18" i="6"/>
  <c r="M18" i="6" s="1"/>
  <c r="G17" i="6"/>
  <c r="M17" i="6" s="1"/>
  <c r="N17" i="6" s="1"/>
  <c r="G16" i="6"/>
  <c r="M16" i="6" s="1"/>
  <c r="N16" i="6" s="1"/>
  <c r="P16" i="6" s="1"/>
  <c r="G15" i="6"/>
  <c r="M15" i="6" s="1"/>
  <c r="N15" i="6" s="1"/>
  <c r="P15" i="6" s="1"/>
  <c r="G14" i="6"/>
  <c r="M14" i="6" s="1"/>
  <c r="N14" i="6" s="1"/>
  <c r="O14" i="6" s="1"/>
  <c r="G13" i="6"/>
  <c r="M13" i="6" s="1"/>
  <c r="N13" i="6" s="1"/>
  <c r="P13" i="6" s="1"/>
  <c r="G12" i="6"/>
  <c r="G11" i="6"/>
  <c r="G10" i="6"/>
  <c r="M10" i="6" s="1"/>
  <c r="N10" i="6" s="1"/>
  <c r="P10" i="6" s="1"/>
  <c r="G9" i="6"/>
  <c r="M9" i="6" s="1"/>
  <c r="N9" i="6" s="1"/>
  <c r="P9" i="6" s="1"/>
  <c r="G8" i="6"/>
  <c r="W6" i="6"/>
  <c r="L6" i="6"/>
  <c r="AB31" i="6"/>
  <c r="L31" i="6"/>
  <c r="AB30" i="6"/>
  <c r="L30" i="6"/>
  <c r="AC25" i="6"/>
  <c r="X25" i="6"/>
  <c r="K25" i="6"/>
  <c r="AC24" i="6"/>
  <c r="K24" i="6"/>
  <c r="AC23" i="6"/>
  <c r="X23" i="6"/>
  <c r="L23" i="6"/>
  <c r="X22" i="6"/>
  <c r="L22" i="6"/>
  <c r="AB21" i="6"/>
  <c r="L21" i="6"/>
  <c r="AB20" i="6"/>
  <c r="L20" i="6"/>
  <c r="AB19" i="6"/>
  <c r="L19" i="6"/>
  <c r="X18" i="6"/>
  <c r="L18" i="6"/>
  <c r="X17" i="6"/>
  <c r="L17" i="6"/>
  <c r="X16" i="6"/>
  <c r="K16" i="6"/>
  <c r="X15" i="6"/>
  <c r="L15" i="6"/>
  <c r="X14" i="6"/>
  <c r="L14" i="6"/>
  <c r="AC13" i="6"/>
  <c r="X13" i="6"/>
  <c r="K13" i="6"/>
  <c r="AC12" i="6"/>
  <c r="X12" i="6"/>
  <c r="K12" i="6"/>
  <c r="AC11" i="6"/>
  <c r="L11" i="6"/>
  <c r="K11" i="6"/>
  <c r="X10" i="6"/>
  <c r="L10" i="6"/>
  <c r="AC9" i="6"/>
  <c r="X9" i="6"/>
  <c r="K9" i="6"/>
  <c r="AC8" i="6"/>
  <c r="K8" i="6"/>
  <c r="L8" i="6"/>
  <c r="X7" i="6"/>
  <c r="L7" i="6"/>
  <c r="S4" i="6"/>
  <c r="E4" i="6"/>
  <c r="C4" i="6"/>
  <c r="D80" i="5"/>
  <c r="G18" i="4"/>
  <c r="G17" i="4"/>
  <c r="G9" i="4"/>
  <c r="G8" i="4"/>
  <c r="G6" i="4"/>
  <c r="G4" i="4"/>
  <c r="G3" i="4"/>
  <c r="A3" i="4"/>
  <c r="I17" i="2"/>
  <c r="H17" i="2"/>
  <c r="I16" i="2"/>
  <c r="H16" i="2"/>
  <c r="I15" i="2"/>
  <c r="H15" i="2"/>
  <c r="I14" i="2"/>
  <c r="H14" i="2"/>
  <c r="I13" i="2"/>
  <c r="H13" i="2"/>
  <c r="I12" i="2"/>
  <c r="H12" i="2"/>
  <c r="I11" i="2"/>
  <c r="H11" i="2"/>
  <c r="I10" i="2"/>
  <c r="H10" i="2"/>
  <c r="I9" i="2"/>
  <c r="H9" i="2"/>
  <c r="I8" i="2"/>
  <c r="H8" i="2"/>
  <c r="G8" i="2"/>
  <c r="I7" i="2"/>
  <c r="H7" i="2"/>
  <c r="I6" i="2"/>
  <c r="H6" i="2"/>
  <c r="I5" i="2"/>
  <c r="H5" i="2"/>
  <c r="I4" i="2"/>
  <c r="H4" i="2"/>
  <c r="G3" i="2"/>
  <c r="I3" i="2" s="1"/>
  <c r="F3" i="2"/>
  <c r="E3" i="2"/>
  <c r="H3" i="2" s="1"/>
  <c r="D3" i="2"/>
  <c r="C3" i="2"/>
  <c r="B3" i="2"/>
  <c r="R28" i="1"/>
  <c r="S28" i="1" s="1"/>
  <c r="H28" i="1"/>
  <c r="J28" i="1" s="1"/>
  <c r="S27" i="1"/>
  <c r="J27" i="1"/>
  <c r="T25" i="1"/>
  <c r="R25" i="1"/>
  <c r="S25" i="1" s="1"/>
  <c r="H25" i="1"/>
  <c r="J25" i="1" s="1"/>
  <c r="T24" i="1"/>
  <c r="R24" i="1"/>
  <c r="S24" i="1" s="1"/>
  <c r="H24" i="1"/>
  <c r="J24" i="1" s="1"/>
  <c r="T23" i="1"/>
  <c r="R23" i="1"/>
  <c r="S23" i="1" s="1"/>
  <c r="H23" i="1"/>
  <c r="J23" i="1" s="1"/>
  <c r="T22" i="1"/>
  <c r="R22" i="1"/>
  <c r="S22" i="1" s="1"/>
  <c r="H22" i="1"/>
  <c r="J22" i="1" s="1"/>
  <c r="T21" i="1"/>
  <c r="R21" i="1"/>
  <c r="S21" i="1" s="1"/>
  <c r="J21" i="1"/>
  <c r="H21" i="1"/>
  <c r="T20" i="1"/>
  <c r="R20" i="1"/>
  <c r="S20" i="1" s="1"/>
  <c r="H20" i="1"/>
  <c r="J20" i="1" s="1"/>
  <c r="T19" i="1"/>
  <c r="S19" i="1"/>
  <c r="R19" i="1"/>
  <c r="J19" i="1"/>
  <c r="H19" i="1"/>
  <c r="T18" i="1"/>
  <c r="R18" i="1"/>
  <c r="S18" i="1" s="1"/>
  <c r="H18" i="1"/>
  <c r="J18" i="1" s="1"/>
  <c r="T17" i="1"/>
  <c r="R17" i="1"/>
  <c r="S17" i="1" s="1"/>
  <c r="H17" i="1"/>
  <c r="J17" i="1" s="1"/>
  <c r="R16" i="1"/>
  <c r="S16" i="1" s="1"/>
  <c r="H16" i="1"/>
  <c r="J16" i="1" s="1"/>
  <c r="R15" i="1"/>
  <c r="S15" i="1" s="1"/>
  <c r="J15" i="1"/>
  <c r="H15" i="1"/>
  <c r="I15" i="1" s="1"/>
  <c r="S14" i="1"/>
  <c r="R14" i="1"/>
  <c r="J14" i="1"/>
  <c r="H14" i="1"/>
  <c r="I14" i="1" s="1"/>
  <c r="T13" i="1"/>
  <c r="R13" i="1"/>
  <c r="S13" i="1" s="1"/>
  <c r="H13" i="1"/>
  <c r="J13" i="1" s="1"/>
  <c r="T12" i="1"/>
  <c r="R12" i="1"/>
  <c r="S12" i="1" s="1"/>
  <c r="H12" i="1"/>
  <c r="J12" i="1" s="1"/>
  <c r="T11" i="1"/>
  <c r="R11" i="1"/>
  <c r="S11" i="1" s="1"/>
  <c r="J11" i="1"/>
  <c r="H11" i="1"/>
  <c r="I11" i="1" s="1"/>
  <c r="T10" i="1"/>
  <c r="R10" i="1"/>
  <c r="S10" i="1" s="1"/>
  <c r="H10" i="1"/>
  <c r="J10" i="1" s="1"/>
  <c r="T9" i="1"/>
  <c r="R9" i="1"/>
  <c r="S9" i="1" s="1"/>
  <c r="H9" i="1"/>
  <c r="J9" i="1" s="1"/>
  <c r="T8" i="1"/>
  <c r="R8" i="1"/>
  <c r="S8" i="1" s="1"/>
  <c r="Q8" i="1"/>
  <c r="H8" i="1"/>
  <c r="I8" i="1" s="1"/>
  <c r="T7" i="1"/>
  <c r="S7" i="1"/>
  <c r="R7" i="1"/>
  <c r="H7" i="1"/>
  <c r="I7" i="1" s="1"/>
  <c r="T6" i="1"/>
  <c r="Q6" i="1"/>
  <c r="R6" i="1" s="1"/>
  <c r="H6" i="1"/>
  <c r="J6" i="1" s="1"/>
  <c r="P5" i="1"/>
  <c r="P4" i="1" s="1"/>
  <c r="O5" i="1"/>
  <c r="O4" i="1" s="1"/>
  <c r="N5" i="1"/>
  <c r="N4" i="1" s="1"/>
  <c r="M5" i="1"/>
  <c r="M4" i="1" s="1"/>
  <c r="L5" i="1"/>
  <c r="K5" i="1"/>
  <c r="G5" i="1"/>
  <c r="G4" i="1" s="1"/>
  <c r="F5" i="1"/>
  <c r="F4" i="1" s="1"/>
  <c r="E5" i="1"/>
  <c r="D5" i="1"/>
  <c r="D4" i="1" s="1"/>
  <c r="C5" i="1"/>
  <c r="C4" i="1" s="1"/>
  <c r="B5" i="1"/>
  <c r="L4" i="1"/>
  <c r="K4" i="1"/>
  <c r="E4" i="1"/>
  <c r="B4" i="1"/>
  <c r="H5" i="1" l="1"/>
  <c r="I5" i="1" s="1"/>
  <c r="I6" i="1"/>
  <c r="I10" i="1"/>
  <c r="I23" i="1"/>
  <c r="I22" i="1"/>
  <c r="T4" i="1"/>
  <c r="J7" i="1"/>
  <c r="AB10" i="6"/>
  <c r="AA10" i="6"/>
  <c r="Z10" i="6"/>
  <c r="AB16" i="6"/>
  <c r="AA16" i="6"/>
  <c r="Z16" i="6"/>
  <c r="AB17" i="6"/>
  <c r="Z17" i="6"/>
  <c r="AB25" i="6"/>
  <c r="AA25" i="6"/>
  <c r="Z25" i="6"/>
  <c r="W8" i="6"/>
  <c r="X8" i="6" s="1"/>
  <c r="AA8" i="6" s="1"/>
  <c r="M8" i="6"/>
  <c r="AB24" i="6"/>
  <c r="AA24" i="6"/>
  <c r="Z24" i="6"/>
  <c r="AB14" i="6"/>
  <c r="AA14" i="6"/>
  <c r="Z14" i="6"/>
  <c r="AB18" i="6"/>
  <c r="Z18" i="6"/>
  <c r="AB22" i="6"/>
  <c r="AA22" i="6"/>
  <c r="Z22" i="6"/>
  <c r="AB13" i="6"/>
  <c r="AA13" i="6"/>
  <c r="Z13" i="6"/>
  <c r="AB9" i="6"/>
  <c r="AA9" i="6"/>
  <c r="Z9" i="6"/>
  <c r="AB15" i="6"/>
  <c r="AA15" i="6"/>
  <c r="Z15" i="6"/>
  <c r="AB23" i="6"/>
  <c r="AA23" i="6"/>
  <c r="Z23" i="6"/>
  <c r="AB12" i="6"/>
  <c r="AA12" i="6"/>
  <c r="Z12" i="6"/>
  <c r="AE5" i="6"/>
  <c r="AB11" i="6"/>
  <c r="AA11" i="6"/>
  <c r="Z11" i="6"/>
  <c r="V4" i="6"/>
  <c r="AB7" i="6"/>
  <c r="AA7" i="6"/>
  <c r="Z7" i="6"/>
  <c r="G5" i="6"/>
  <c r="G4" i="6" s="1"/>
  <c r="O13" i="6"/>
  <c r="P14" i="6"/>
  <c r="H5" i="6"/>
  <c r="J5" i="6" s="1"/>
  <c r="J27" i="6"/>
  <c r="U4" i="6"/>
  <c r="AC4" i="6" s="1"/>
  <c r="O12" i="6"/>
  <c r="O10" i="6"/>
  <c r="O11" i="6"/>
  <c r="O25" i="6"/>
  <c r="O9" i="6"/>
  <c r="P23" i="6"/>
  <c r="O24" i="6"/>
  <c r="O7" i="6"/>
  <c r="O15" i="6"/>
  <c r="O16" i="6"/>
  <c r="O6" i="6"/>
  <c r="P6" i="6"/>
  <c r="X6" i="6"/>
  <c r="K10" i="6"/>
  <c r="K22" i="6"/>
  <c r="K14" i="6"/>
  <c r="K6" i="6"/>
  <c r="AC5" i="6"/>
  <c r="L9" i="6"/>
  <c r="K7" i="6"/>
  <c r="L12" i="6"/>
  <c r="K15" i="6"/>
  <c r="L24" i="6"/>
  <c r="L25" i="6"/>
  <c r="K23" i="6"/>
  <c r="L13" i="6"/>
  <c r="L16" i="6"/>
  <c r="S6" i="1"/>
  <c r="R5" i="1"/>
  <c r="I9" i="1"/>
  <c r="I13" i="1"/>
  <c r="I16" i="1"/>
  <c r="I25" i="1"/>
  <c r="Q5" i="1"/>
  <c r="Q4" i="1" s="1"/>
  <c r="T5" i="1"/>
  <c r="J8" i="1"/>
  <c r="I12" i="1"/>
  <c r="I24" i="1"/>
  <c r="J5" i="1" l="1"/>
  <c r="H4" i="1"/>
  <c r="J4" i="1" s="1"/>
  <c r="AB8" i="6"/>
  <c r="AE4" i="6"/>
  <c r="M5" i="6"/>
  <c r="M4" i="6" s="1"/>
  <c r="N8" i="6"/>
  <c r="Z8" i="6"/>
  <c r="Z6" i="6"/>
  <c r="AA6" i="6"/>
  <c r="W5" i="6"/>
  <c r="W4" i="6" s="1"/>
  <c r="AB6" i="6"/>
  <c r="X5" i="6"/>
  <c r="AA5" i="6" s="1"/>
  <c r="L5" i="6"/>
  <c r="H4" i="6"/>
  <c r="J4" i="6" s="1"/>
  <c r="K5" i="6"/>
  <c r="R4" i="1"/>
  <c r="S4" i="1" s="1"/>
  <c r="S5" i="1"/>
  <c r="I4" i="1"/>
  <c r="P8" i="6" l="1"/>
  <c r="N5" i="6"/>
  <c r="O8" i="6"/>
  <c r="X4" i="6"/>
  <c r="Z5" i="6"/>
  <c r="Z4" i="6"/>
  <c r="AB5" i="6"/>
  <c r="L4" i="6"/>
  <c r="K4" i="6"/>
  <c r="P5" i="6" l="1"/>
  <c r="N4" i="6"/>
  <c r="O5" i="6"/>
  <c r="AA4" i="6"/>
  <c r="AB4" i="6"/>
  <c r="P4" i="6" l="1"/>
  <c r="O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康孟云</author>
  </authors>
  <commentList>
    <comment ref="U11" authorId="0" shapeId="0" xr:uid="{FF4F8147-8659-40C5-9278-582F653D37DD}">
      <text>
        <r>
          <rPr>
            <b/>
            <sz val="9"/>
            <color indexed="81"/>
            <rFont val="宋体"/>
            <family val="3"/>
            <charset val="134"/>
          </rPr>
          <t>康孟云:</t>
        </r>
        <r>
          <rPr>
            <sz val="9"/>
            <color indexed="81"/>
            <rFont val="宋体"/>
            <family val="3"/>
            <charset val="134"/>
          </rPr>
          <t xml:space="preserve">
17号楼强制转签</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康孟云</author>
  </authors>
  <commentList>
    <comment ref="J9" authorId="0" shapeId="0" xr:uid="{80FFF98D-E5BF-4B20-B470-4FDBCAD9E829}">
      <text>
        <r>
          <rPr>
            <b/>
            <sz val="9"/>
            <color indexed="81"/>
            <rFont val="宋体"/>
            <family val="3"/>
            <charset val="134"/>
          </rPr>
          <t>康孟云:</t>
        </r>
        <r>
          <rPr>
            <sz val="9"/>
            <color indexed="81"/>
            <rFont val="宋体"/>
            <family val="3"/>
            <charset val="134"/>
          </rPr>
          <t xml:space="preserve">
17号楼强制转签</t>
        </r>
      </text>
    </comment>
  </commentList>
</comments>
</file>

<file path=xl/sharedStrings.xml><?xml version="1.0" encoding="utf-8"?>
<sst xmlns="http://schemas.openxmlformats.org/spreadsheetml/2006/main" count="829" uniqueCount="312">
  <si>
    <t>月度业绩摸底</t>
  </si>
  <si>
    <t>开经版</t>
  </si>
  <si>
    <t>区域版</t>
  </si>
  <si>
    <t>认购摸底（项目不含工抵）</t>
  </si>
  <si>
    <t>签约摸底（项目不含工抵）</t>
  </si>
  <si>
    <t>项目</t>
  </si>
  <si>
    <t>认购</t>
  </si>
  <si>
    <t>签约</t>
  </si>
  <si>
    <t>已认购</t>
  </si>
  <si>
    <t>预计新增</t>
  </si>
  <si>
    <t>预计认购</t>
  </si>
  <si>
    <t>开经完成率</t>
  </si>
  <si>
    <t>区域完成率</t>
  </si>
  <si>
    <t>已转签</t>
  </si>
  <si>
    <t>正常待签①②③④互斥</t>
  </si>
  <si>
    <t>①其中：拟退挞</t>
  </si>
  <si>
    <t>②其中：已签未转</t>
  </si>
  <si>
    <t>③其中：待签可签</t>
  </si>
  <si>
    <t>④其中：以旧换新可签+FX</t>
  </si>
  <si>
    <t>新增且签</t>
  </si>
  <si>
    <t>预计签约</t>
  </si>
  <si>
    <t>待签转签率</t>
  </si>
  <si>
    <t>特殊数据备注（以旧换新、高评、认购未上线等）</t>
  </si>
  <si>
    <t>含工抵合计</t>
  </si>
  <si>
    <t>正常销售合计</t>
  </si>
  <si>
    <t>雲河锦上</t>
  </si>
  <si>
    <t>古翠隐秀</t>
  </si>
  <si>
    <t>1套以旧换新待签478万，预计8月可签</t>
  </si>
  <si>
    <t>翠湾中城</t>
  </si>
  <si>
    <t>含15套以旧换新，2418万</t>
  </si>
  <si>
    <t>未来时光</t>
  </si>
  <si>
    <t>都会天际</t>
  </si>
  <si>
    <t>周口龙堂</t>
  </si>
  <si>
    <t>其中包含FX8套，605万；17#网签未解锁6套，427万</t>
  </si>
  <si>
    <t>星图</t>
  </si>
  <si>
    <t>其中包含FX11套，813万</t>
  </si>
  <si>
    <t>云图</t>
  </si>
  <si>
    <t>兰乔</t>
  </si>
  <si>
    <t>云庐</t>
  </si>
  <si>
    <t>湖与城</t>
  </si>
  <si>
    <t>方顶驿</t>
  </si>
  <si>
    <t>/</t>
  </si>
  <si>
    <t>拾谧森语</t>
  </si>
  <si>
    <t>洛阳西园甲第</t>
  </si>
  <si>
    <t>大都会贤悦苑</t>
  </si>
  <si>
    <t>山河道</t>
  </si>
  <si>
    <t>理想拾光</t>
  </si>
  <si>
    <t>尾盘车位</t>
  </si>
  <si>
    <t>尾盘商办</t>
  </si>
  <si>
    <t>尾盘住宅</t>
  </si>
  <si>
    <t>工抵</t>
  </si>
  <si>
    <t>自渠</t>
  </si>
  <si>
    <t>认购目标</t>
  </si>
  <si>
    <t>签约目标（单位：万）</t>
  </si>
  <si>
    <t>资源转化</t>
  </si>
  <si>
    <t>正常待签</t>
  </si>
  <si>
    <t>其中：拟退挞</t>
  </si>
  <si>
    <t>其中：已签未转</t>
  </si>
  <si>
    <t>其中：7月可签</t>
  </si>
  <si>
    <t>待签转签率（不含拟退）</t>
  </si>
  <si>
    <t>新增转签率</t>
  </si>
  <si>
    <t>（待签可签含10套以旧换新1677万）</t>
  </si>
  <si>
    <t>填写要求：锚定月度区域版任务进度，完成/滞后的原因分析，完成月度任务需采取的追赶动作；每周日晚上9点前完成</t>
  </si>
  <si>
    <t>责任人</t>
  </si>
  <si>
    <t>吴绍楠</t>
  </si>
  <si>
    <t>已认购52套8899万，预计可完成16000万（净）；已签约909万，预计可签约12750万。</t>
  </si>
  <si>
    <t>认购在轨，签约低于时间进度线；
①以旧换新进度仍为完全跑通，占大量待签；②拟退挞资源仍有25套5361万；③新增认购中“以旧换新”量占比较大，新增准时签约补充不足</t>
  </si>
  <si>
    <t>来访端：传播及场景策划：①推广策略→延续“项目起势情绪价值”思路，以价值故事化、场景参与化，传播IP化核心路径；②曝光→打造网端网红案场+项目直播策划矩阵平台，以季度、月度、节点等投放曝光及直播获客承接；③场景故事案场包装优化
转化端：团队管理及销售策略：①锁定6月端午节、618、630能关键销售节点制定销售政策口径；②8#楼东单元高地区价格重构端午加推；③以旧换新客户重点梳理及线上直播推广专项话题；④车位销售蓄客，节后报备区域决策开盘，商铺计划以散售蓄客一周启动开盘销售；
大项目及公司支持：
1、复工补货：洋房已复工18、22、23、25#；前置补货18、25#作为年中冲刺货源；
2、展示优化：高层样板层调整、洋房G户型的调整6月底；临界洋房外立面6月30日；
3、二批次产策产品户型图打磨敲定；
4、植物园IP：落地植物园签约或其他课程基地授牌仪式，形成IP传播及故事型案场支撑，5月30日；   责任人→曲全岳、刘洋、张瑞、李晓夏；
5、直播投流付款协调：零夏因付款问题，暂不预支付投流费用，直播间曝光下滑40%，线索量下滑50%，到访量下滑30%（前期存量资源在跟）；
6、以旧换新：公司层面专项小组协调城发、房管局疏通“以旧换新”房源签约进度</t>
  </si>
  <si>
    <t>•</t>
  </si>
  <si>
    <t>王倩</t>
  </si>
  <si>
    <t>已认购3套、1432万，预计可完成2812万；已签约468万，预计可签约2869万。</t>
  </si>
  <si>
    <t>①可售房源仅剩顶层，客户对于顶层抗性较大，引导困难；②客户资金不足，部分需要以旧换新，存在评估不确定性；③二批次进度缓慢，客户多关注，担心后期进展</t>
  </si>
  <si>
    <t>来访端：
①线上置业顾问和自渠联合直播，线上持续获客；②周边重点分销门店拜访拓展；
2、转化端：
①顶底房源一房一价特殊申请；②周度加强房源优惠口径的包装及释放谈判策略；③每组到访客户都保证实地带看和工程人员专业讲解；
3、商铺：
①商铺因为合铺和后期设计调整，部分实际面积与测绘报告有出入，与设计重新核对图纸后调整出街图及价格表。②商铺对外宣传蓄客。</t>
  </si>
  <si>
    <t>王阳阳</t>
  </si>
  <si>
    <t>已认购16套、2444万，预计可完成7244万；（剩余3周，每周10套新增认购目标）
已签约430万，预计可签约8232万
（新增认购转签率70%）。</t>
  </si>
  <si>
    <t>①群诉影响：本周来访客户中，受群诉影响客户63组，占比35%，其中意向客户/复访客户受影响16组，待签/成交客户影响4套；
②除分销外获客渠道外，自渠和自访的来访成交量需针对性提升</t>
  </si>
  <si>
    <t>1、来访端：①推广聚焦：线上聚焦“夜闪购”和“618”节点扩大发声，提升来访②获客渠道打开：除分销外，线上直播获客增加场次和直播时长，自渠增加线下竞品拓展，增加非分销来访成交占比；
2、转化端：①再次培训C区群诉抗性说辞，形成网络图片与整改后照片对比销售道具，重点客户实地带看，一对一解决问题；②重点门店店东/经纪人C区实地探盘，正向发声，覆盖补发负面信息
3、其他：①销售团队状态提升，除受群诉影响心态外，泰辰关注佣金问题，唯家需补充头部老人2名；②近期对比竞品占提升，专项梳理对抗说辞培训（郑轨/越秀）</t>
  </si>
  <si>
    <t>卢艳艳</t>
  </si>
  <si>
    <t>已认购15套、3247万，预计可完成6247万；已签约1771万，预计可签约8066万。</t>
  </si>
  <si>
    <t>①剩余房源多为顶底，需要引导，客户周期稍微长；</t>
  </si>
  <si>
    <t>胡松岩</t>
  </si>
  <si>
    <t>已认购1套、144万，预计可完成9000万；已签约10万，预计可签约8624万。</t>
  </si>
  <si>
    <t xml:space="preserve">任务进度落后时间进度
①月初置业顾问手里意向客户减少，整体来访量没有明显提升，需要持续蓄客；
②客户犹豫心态仍未改变，5.17新政阶段性利空刚需项目，客户持续观望，不着急购买，转化难以快速提升。
</t>
  </si>
  <si>
    <t>1、来访端： ①聚焦10#加推，突出“全期最后一栋”、“稀缺小高层”、“装标升级”等核心价值强化推广，提升来访；②结合已落地售楼部的杉杉奥莱夏日礼包权益派发展点，拿出部分作为客户到访礼；③持续4#清栋特价房和10#全期最后一栋楼加推口径，联动分销和自渠直播宣发；④持续制作工程进度对比图，提前释放月底封顶准现房口径，叠加特价清栋和加推，提升线上获客；⑤线上预热“618购房节”节点。
2、转化端：①包装“618购房节”拼团购房优惠口径，促进周内转化提升；②安排置业顾问和策划爬楼10#楼，拍摄各户型中高区视野照片和视频，用作置业顾问逼定道具；③切换都会天际66生活节车位优惠口径，包装到618节点当中，促进转化认购。
3、其他专项：联合工程优化新样板间动线和电梯使用体验；制定双装标引导说辞并培训。</t>
  </si>
  <si>
    <t>李晨龙</t>
  </si>
  <si>
    <t>已认购16套、1174万，预计可完成2474万；已签约343万，预计可签约3749万。</t>
  </si>
  <si>
    <t>①客户期房抗性大，观望情绪较重，复访客户邀约难度大②竞品价格（万基降价至3900元起）持续下探，拉低客户价格预期③二批次剩余房源47套（122房源仅剩余12套，且多为高区），将步入26年大期房状态。</t>
  </si>
  <si>
    <t>1、来访端：①聚焦17号楼加推，放大户型升级优势，与一二批次房源做好错位竞争，借助618、年中冲刺以及一批次房源预验房等节点，联动分销以及大V搅动，引流客户。②借助分享家政策针对员工、业主、竞品同行以及异业资源进行深层次搅动，拓宽客户来源。③政府、企事业单位等持续性团购拓展，挖掘团购机会。④高频次业主活动搅动，提升老带新。
2、转化端：①加强17号楼户型优势宣导以及交付时间对抗说辞培训，以户型优势弱化交房弱势。②一二批次房源做好一户一说辞，理清三批次房源推售逻辑，做好客户最大转化。③节点包装：618购房节活动以及17号楼加推等口径挤压客户。
3、其他：19号楼样板间尽快确定装标，对外展示启用。</t>
  </si>
  <si>
    <t>杨晓闪</t>
  </si>
  <si>
    <t>已认购7套、459万，预计可完成1629万；已签约195万，预计可签约2250万。</t>
  </si>
  <si>
    <t>①片区来访持续低迷，周度来访40组左右，客户质量一般，多观望想要多对比，不到谈优惠地步
②受15%首付和利率影响，客户流失到市区项目严重，转化难度增大
③高评有名额释放，部分首访客户冲击力度不大，复访难度大</t>
  </si>
  <si>
    <t>1、来访端：①聚焦15#西单元热势加推，即将封顶，618 年中冲刺多重节点推广引流客户②借助车位政策再把所有业主特别是交接的再联系下，持续露天电影节播放，宣贯老带新政策③重点分销门店送西瓜送清凉，加强粘性④持续锦艺城夜拓
2、转化端：①组织销售去市区成交集中的几个楼盘调盘 梳理抗性说辞②利用西单元加推用房源+618优惠双向挤压客户③做客户现在买周边毛坯入住时间和买我们的时间差别的一张表道具辅助
3、其他：联合设计增加120软装样板间提升客户场景感</t>
  </si>
  <si>
    <t>吴飞飞</t>
  </si>
  <si>
    <t>已认购6套、432万，预计可完成1517万；已签约271万，待签可签357万，预计可签约1532万。</t>
  </si>
  <si>
    <t>①来访量持续走低，周内周二至周四来访为0，端午前分销聚焦踩盘+政策释放，当周到访11组:
②119户型：本周来访需求119户型4组，对于22#交付时间有抗性，拉长转化周期;
③主力客户万邦进入淡季，不敢动用资金购房，担心周转不开，购房意愿下降</t>
  </si>
  <si>
    <t>1、来访端：①走出去上客户工作地方拜访，端午节期间拜访62组、老带新成交2组；坚持组织社群活动，本周组织业主羽毛球挑战赛；②梳理已成交关键客户，每周定期组织上门下午茶维系4组，扩大项目影响力；③组织天泽城晚上集中夜拓；④置业顾自获客能力绑定案场到访资源分配；⑤重点维系17#业主增加119带新；
2、转化端：①618好房提前享，专属特价房销售政策包装，前置收客；②22#组织爬楼，梳理楼栋价值，了解施工进度，转化为客户引导说辞
3、其他：案场630交付销售场景包装，强化项目实景现房价值；</t>
  </si>
  <si>
    <t>郑连连</t>
  </si>
  <si>
    <t>已认购0套、0万，预计可完成400万；已签约0万，预计可签约400万。</t>
  </si>
  <si>
    <t>①受市场下滑影响客户对远郊置业信心不足，远郊别墅缺乏置业逻辑；②库存别墅以南北临路位置为主，客户选择性较少；③二手别墅挂牌量大且价格不断走低，二手别墅竞争压力较大</t>
  </si>
  <si>
    <t>1、来访端：①首先针对有带访经纪人进行逐个沟通，以工抵房口径锁定2套房源对外释放，吸引经纪人带看；②利用分销点位上调契机，集中召集主力销售别墅的自媒体经纪人及门店经纪人到项目进行宣传视频拍摄，提升宣传热度；③召集原兰乔别墅销售的置业顾问及销冠回流，了解当前售价及房源信息，促进客户转介；④员工政策宣介绍，促进员工圈层资源挖掘；⑤针对去年来访未成交客户进行交叉回访，判断客户意向度
2、转化端：①锁定房源安排物业进行房源状态的精细化整理，确保房源展示状态良好，提升客户体验感；②安排物业针对项目周边界面进行整理，提升展示状态；</t>
  </si>
  <si>
    <t>已认购0套、0万，预计可完成185万；已签约150万，预计可签约335万。</t>
  </si>
  <si>
    <t>①受市场下滑影响客户对远郊置业信心不足，远郊别墅缺乏置业逻辑；②金融性大单受银行政策影响难度加大，暂无新增意向客户；</t>
  </si>
  <si>
    <t>1、来访端：①利用分销点位上调契机，集中召集主力销售别墅的自媒体经纪人及门店经纪人到项目进行宣传视频拍摄，提升宣传热度；②持续与财务及现有客户资源对接，拓展金融性整售大单；
2、转化端：针对主要推售房源安排物业进行房源状态的精细化管理，提升房源展示状态；</t>
  </si>
  <si>
    <t>尾盘现房</t>
  </si>
  <si>
    <t>已认购0套、0万，预计可完成138万；已签约0万，预计可签约138万。</t>
  </si>
  <si>
    <t>①由于同小区二手房价格持续走低，需一户一议，根据当前客户情况进行成交定价；</t>
  </si>
  <si>
    <t>1、所有房源信息再次进行全员宣贯，拓展全员营销；2、朴邻意向客户专项跟进，结合最新二手房成交情况根据客户合理出价进行一户一申请；</t>
  </si>
  <si>
    <t>车位专项</t>
  </si>
  <si>
    <t>王庆鑫、华鹏</t>
  </si>
  <si>
    <t>已认购33套、226万，预计可完成1000万；已签约121万，预计可签约1000万。</t>
  </si>
  <si>
    <t>1. 客户需求弱: 长期持续挤压收客，新交房或交房1-2年项目入住上升速度缓慢，新增客户基数大幅减少，去化速度远超入住需求增长速度，需求客户池逐渐变小;
2. 山河道二期部分客户由于未入住不着急使用，等待示范区开放实地参观后决策；紫台楼栋下车位价格过于偏高，客户接受的低价格车位已逐渐去化完毕，客户可选择货源匮乏。
3.车住同售速度缓慢:车住同售项目减少，持销住宅流速低位，车住同售速度降低，对前期老业主需求挖掘有待提升。</t>
  </si>
  <si>
    <t>1. 全面开启车位试停活动，通过试停邀约提前圈客，增加与客户沟通渠道，提升试停办理效果最大限度圈客;
2.618超级车位节活动：全面上线政策海报、试停点展板、地库条幅等宣传物料，全面宣传覆盖，做大推广造势力度，利用618节点极致收客：
3.充电车位专项挖掘：挖掘电车用户，强化充电车位性价比，促使充电客户需求有效转化；
4.持销项目车位重点挖掘老业主，结合本月主题，丰富更新对客口径。</t>
  </si>
  <si>
    <t>商办专项</t>
  </si>
  <si>
    <t>蔡宁娜</t>
  </si>
  <si>
    <t>已认购0套、0万，预计可完成207万；已签约0万，预计可签约207万。</t>
  </si>
  <si>
    <t>1、大都会五期意向客户持续跟进
2、商业清单终版更新
3、大都会五期商铺认购客户房屋交付工程问题处理</t>
  </si>
  <si>
    <t>序号</t>
  </si>
  <si>
    <t>维度</t>
  </si>
  <si>
    <t>需工程支持事项及进展</t>
  </si>
  <si>
    <t>营销需求时间</t>
  </si>
  <si>
    <t>项目沟通时间</t>
  </si>
  <si>
    <t>滞后</t>
  </si>
  <si>
    <t>是否可销项</t>
  </si>
  <si>
    <t>其他</t>
  </si>
  <si>
    <t>C区平稳交付，无交付负面舆论</t>
  </si>
  <si>
    <t>否</t>
  </si>
  <si>
    <t>场景兑现</t>
  </si>
  <si>
    <t>二批次252样板间和示范区</t>
  </si>
  <si>
    <t>泳池可加热正常启用</t>
  </si>
  <si>
    <t>暂无进度</t>
  </si>
  <si>
    <t>供货保障</t>
  </si>
  <si>
    <t>二批次预售证获取</t>
  </si>
  <si>
    <t>社区品质</t>
  </si>
  <si>
    <t>实景园区景观绿化品质维护，保障现房带看体验感</t>
  </si>
  <si>
    <t>持续</t>
  </si>
  <si>
    <t>工程提效</t>
  </si>
  <si>
    <t>15号楼持续工程进度在轨，930之前外立面呈现</t>
  </si>
  <si>
    <t>14号楼保证持续全面复工，进度提效8月31日之前封顶</t>
  </si>
  <si>
    <t>IP助力</t>
  </si>
  <si>
    <t>植物园联名或则实践课程基地等形式落定IP联名传播实践</t>
  </si>
  <si>
    <t>高层7＃楼样板间，7号楼西侧高层143端户洋房宅间及高层和洋房的主轴景观（待确定招标单位）</t>
  </si>
  <si>
    <t>商业街真实场景呈现，引入主力店，策划商业街开街，将真实未来场景做出来（招商待上会）</t>
  </si>
  <si>
    <t>已销售，停滞</t>
  </si>
  <si>
    <t>洋房13、15、16、17#全面封顶，临路界面外立面展示</t>
  </si>
  <si>
    <t>暂无进展</t>
  </si>
  <si>
    <t>22#23#外立面及窗框开始动工</t>
  </si>
  <si>
    <t>16号楼7月底封顶</t>
  </si>
  <si>
    <t>17号楼爬架尽快提升至四层，工期提速至预售条件，解锁网签（目前2.5层）</t>
  </si>
  <si>
    <t>项目名称</t>
  </si>
  <si>
    <t>款项类型</t>
  </si>
  <si>
    <t>款项说明</t>
  </si>
  <si>
    <t>金额（万）</t>
  </si>
  <si>
    <t>单位名称（与单据保持一致）</t>
  </si>
  <si>
    <t>单据进度</t>
  </si>
  <si>
    <t>是否付款</t>
  </si>
  <si>
    <t>备注</t>
  </si>
  <si>
    <t>代理佣金</t>
  </si>
  <si>
    <t>2024年泰辰2-4月代理佣金</t>
  </si>
  <si>
    <t>泰辰控股（深圳）集团股份有限公司郑州分公司</t>
  </si>
  <si>
    <t>待付款</t>
  </si>
  <si>
    <t>机构佣金</t>
  </si>
  <si>
    <t>2023年12月机构转介佣金</t>
  </si>
  <si>
    <t>郑州更赢信息技术有限公司</t>
  </si>
  <si>
    <t>2024年4月机构转介佣金</t>
  </si>
  <si>
    <t>2023年3月机构转介佣金</t>
  </si>
  <si>
    <t>河南贝壳信息技术有限公司</t>
  </si>
  <si>
    <t>2024年4月58机构转介佣金</t>
  </si>
  <si>
    <t>郑州更赢息技术有限公</t>
  </si>
  <si>
    <t>2023年7月泳池设备结算费用</t>
  </si>
  <si>
    <t>湖南湘深环境工程有限公司</t>
  </si>
  <si>
    <t>万科城</t>
  </si>
  <si>
    <t>2023年12月车位销售代理佣金</t>
  </si>
  <si>
    <t>郑州日昇昌房地产经纪有限公司</t>
  </si>
  <si>
    <t>2024年3月机构转介佣金（贝壳）</t>
  </si>
  <si>
    <t>2024年3月机构转介佣金</t>
  </si>
  <si>
    <t>2024年2月机构转介佣金</t>
  </si>
  <si>
    <t>山河道中介佣金</t>
  </si>
  <si>
    <t>销售佣金</t>
  </si>
  <si>
    <t>易居团队5月置业顾问佣金</t>
  </si>
  <si>
    <t>古唐</t>
  </si>
  <si>
    <t>易居团队5月置业顾问奖励</t>
  </si>
  <si>
    <t>世联团队5月置业顾问佣金</t>
  </si>
  <si>
    <t>世联团队5月置业顾问奖励</t>
  </si>
  <si>
    <t>易居团队6月置业顾问佣金</t>
  </si>
  <si>
    <t>世联团队6月置业顾问佣金</t>
  </si>
  <si>
    <t>2024年3月机构佣金</t>
  </si>
  <si>
    <t>2023年12月-2024年3月车位管理费</t>
  </si>
  <si>
    <t>上海福链教字科技有限公司</t>
  </si>
  <si>
    <t>2024年4-5月机构转介佣金</t>
  </si>
  <si>
    <t>新增</t>
  </si>
  <si>
    <t>首付贴息</t>
  </si>
  <si>
    <t>2024年4-5月首付政策贴息补贴</t>
  </si>
  <si>
    <t>北京天途驰正信息技术有限公司</t>
  </si>
  <si>
    <t>待审核中</t>
  </si>
  <si>
    <t>2024年首开期全民及关键人佣金</t>
  </si>
  <si>
    <t>古唐盛世（北京）科技有限公司</t>
  </si>
  <si>
    <t>3-4月直播投流费用</t>
  </si>
  <si>
    <t>河南零夏企业营销策划有限公司</t>
  </si>
  <si>
    <t>5月生活号达人8万</t>
  </si>
  <si>
    <t>郑州飞人文化传媒有限公司</t>
  </si>
  <si>
    <t>3月-5月小红书达人费用</t>
  </si>
  <si>
    <t>河南锤锤文化传媒有限公司</t>
  </si>
  <si>
    <t>2024年5月泰辰代理佣金</t>
  </si>
  <si>
    <t>广告公司服务费（欠款）</t>
  </si>
  <si>
    <t>成都麒木</t>
  </si>
  <si>
    <t>贝壳佣金结算</t>
  </si>
  <si>
    <t>老带新结算费用</t>
  </si>
  <si>
    <t>首付贴息费用</t>
  </si>
  <si>
    <t>车位管理费赠送费用（4月）</t>
  </si>
  <si>
    <t>车位管理费赠送费用（2-3月）</t>
  </si>
  <si>
    <t>2024年广告公司1-3月月费</t>
  </si>
  <si>
    <t>深圳朱与王广告有限公司</t>
  </si>
  <si>
    <t>杨付华多交首付款退款</t>
  </si>
  <si>
    <t>杨付华</t>
  </si>
  <si>
    <t>高评FX</t>
  </si>
  <si>
    <t>2024年一品行代理佣金</t>
  </si>
  <si>
    <t>河南一品行房地产营销策划有限公司</t>
  </si>
  <si>
    <t>2024年5月机构转介佣金（预付）</t>
  </si>
  <si>
    <t>周口房贝贝信息科技有限公司</t>
  </si>
  <si>
    <t>2024年4月机构转介佣金（预付）</t>
  </si>
  <si>
    <t>2024年4-5月机构转介佣金（预付）</t>
  </si>
  <si>
    <t>2024年6月机构转介佣金（预付）</t>
  </si>
  <si>
    <t>2023年10-12月、2024年1-3月广告公司费用</t>
  </si>
  <si>
    <t>大都会5期</t>
  </si>
  <si>
    <t>车商办1月广告公司费用</t>
  </si>
  <si>
    <t>2021-2022年代理车位销售交付保证金</t>
  </si>
  <si>
    <t>魅力之城</t>
  </si>
  <si>
    <t>2024年1-4月车位销售代理佣金</t>
  </si>
  <si>
    <t>万科溪望</t>
  </si>
  <si>
    <t>2024年3-4月车位销售代理佣金</t>
  </si>
  <si>
    <t>万科紫台</t>
  </si>
  <si>
    <t>大都会4/5期</t>
  </si>
  <si>
    <t>2024年1月车位销售代理佣金</t>
  </si>
  <si>
    <t>日昇昌团队2023年11月置业顾问奖励</t>
  </si>
  <si>
    <t>自渠佣金</t>
  </si>
  <si>
    <t>V-周口龙堂-2024年5月-朴邻渠道佣金-代理佣金-郑州市朴邻房产经纪有限公司第二分公司-12607</t>
  </si>
  <si>
    <t>郑州市朴邻房产经纪有限公司第二分公司</t>
  </si>
  <si>
    <t>V-山河道-2024年4月-朴邻渠道佣金-代理佣金-郑州市朴邻房产经纪有限公司第二分公司-13215</t>
  </si>
  <si>
    <t>V-都会天际-2024年5月-朴邻渠道佣金-代理佣金-郑州市朴邻房产经纪有限公司第二分公司-97672</t>
  </si>
  <si>
    <t>V-星图-2024年5月-朴邻渠道佣金-代理佣金-郑州市朴邻房产经纪有限公司第二分公司-777</t>
  </si>
  <si>
    <t>V-未来时光-2024年5月-朴邻渠道佣金-代理佣金-郑州市朴邻房产经纪有限公司第二分公司-87786</t>
  </si>
  <si>
    <t>V-翠湾-2024年5月-朴邻渠道佣金-代理佣金-郑州市朴邻房产经纪有限公司第二分公司-43179</t>
  </si>
  <si>
    <t>V-雲河锦上-2024年5月-朴邻渠道佣金-代理佣金-郑州市朴邻房产经纪有限公司第二分公司-118830</t>
  </si>
  <si>
    <t>V-都会天际-2024年4月-朴邻渠道佣金-代理佣金-郑州市朴邻房产经纪有限公司第二分公司-61804</t>
  </si>
  <si>
    <t>V-星图-2024年4月-朴邻渠道佣金-代理佣金-郑州市朴邻房产经纪有限公司第二分公司-5106</t>
  </si>
  <si>
    <t>V-云图-2024年4月-朴邻渠道佣金-代理佣金-郑州市朴邻房产经纪有限公司第二分公司-4976</t>
  </si>
  <si>
    <t>V-未来时光-2024年4月-朴邻渠道佣金-代理佣金-郑州市朴邻房产经纪有限公司第二分公司-17437</t>
  </si>
  <si>
    <t xml:space="preserve">V-古翠-2024年4月-朴邻渠道佣金-代理佣金-郑州市朴邻房产经纪有限公司第二分公司-18448
</t>
  </si>
  <si>
    <t>自渠人工成本</t>
  </si>
  <si>
    <t>V-雲河锦上-24年3季度-（工）渠道结佣（佣金）-郑州市朴邻房产经纪有限公司第二分公司-450000元</t>
  </si>
  <si>
    <t>V-未来时光-24年3季度-（工）渠道结佣（佣金）-郑州市朴邻房产经纪有限公司第二分公司-400000元</t>
  </si>
  <si>
    <t>V-都会天际-2024年5月-机构转介费用-分销佣金费用-河南贝壳信息技术有限公司-442036</t>
  </si>
  <si>
    <t>V-都会天际-2024年4月-机构转介费用-分销佣金费用-郑州更赢信息技术有限公司-95243</t>
  </si>
  <si>
    <t xml:space="preserve">V-都会天际-2024年5月-机构转介费用-分销佣金费用-郑州更赢信息技术有限公司-420747 </t>
  </si>
  <si>
    <t>V-都会天际-2024年5月-机构转介费用-分销佣金费用-郑州更赢信息技术有限公司-402209</t>
  </si>
  <si>
    <t>都会天际项目2024年4月销售签约整合推广框架服务合作协议（5月份）</t>
  </si>
  <si>
    <t>都会天际项目2024年4月销售签约整合推广框架服务合作协议（6月份）</t>
  </si>
  <si>
    <t>大都会项目泰辰团队2023年认购2024年1-2月回款佣金</t>
  </si>
  <si>
    <t>都会天际泰辰团队5月回款佣金</t>
  </si>
  <si>
    <t>华中唯家(珠海横琴)房地产经纪有限公司郑州分公司</t>
  </si>
  <si>
    <t>合计</t>
  </si>
  <si>
    <t>　</t>
  </si>
  <si>
    <r>
      <rPr>
        <b/>
        <sz val="10"/>
        <color rgb="FF000000"/>
        <rFont val="楷体"/>
        <family val="3"/>
        <charset val="134"/>
      </rPr>
      <t>填写要求：区域及内控业绩统计为</t>
    </r>
    <r>
      <rPr>
        <b/>
        <sz val="10"/>
        <color rgb="FFC00000"/>
        <rFont val="楷体"/>
        <family val="3"/>
        <charset val="134"/>
      </rPr>
      <t>不含工抵的认购签约净值，每周日晚上9点前完成填写，</t>
    </r>
    <r>
      <rPr>
        <b/>
        <sz val="10"/>
        <color rgb="FF000000"/>
        <rFont val="楷体"/>
        <family val="3"/>
        <charset val="134"/>
      </rPr>
      <t>当日业绩准确值更新后根据月度预计达成倒减计算预计新增认购及新增且签</t>
    </r>
  </si>
  <si>
    <r>
      <rPr>
        <b/>
        <sz val="10"/>
        <color rgb="FFC00000"/>
        <rFont val="楷体"/>
        <family val="3"/>
        <charset val="134"/>
      </rPr>
      <t>区域版</t>
    </r>
    <r>
      <rPr>
        <b/>
        <sz val="10"/>
        <color rgb="FF000000"/>
        <rFont val="楷体"/>
        <family val="3"/>
        <charset val="134"/>
      </rPr>
      <t>任务进度及缺口</t>
    </r>
  </si>
  <si>
    <r>
      <rPr>
        <b/>
        <sz val="10"/>
        <color rgb="FF000000"/>
        <rFont val="楷体"/>
        <family val="3"/>
        <charset val="134"/>
      </rPr>
      <t>原因分析</t>
    </r>
    <r>
      <rPr>
        <b/>
        <sz val="10"/>
        <color rgb="FF000000"/>
        <rFont val="楷体"/>
        <family val="3"/>
        <charset val="134"/>
      </rPr>
      <t xml:space="preserve">
（</t>
    </r>
    <r>
      <rPr>
        <b/>
        <sz val="10"/>
        <color rgb="FFC00000"/>
        <rFont val="楷体"/>
        <family val="3"/>
        <charset val="134"/>
      </rPr>
      <t>认购/签约</t>
    </r>
    <r>
      <rPr>
        <b/>
        <sz val="10"/>
        <color rgb="FF000000"/>
        <rFont val="楷体"/>
        <family val="3"/>
        <charset val="134"/>
      </rPr>
      <t>进度滞后的分析原因，对应追赶动作；</t>
    </r>
    <r>
      <rPr>
        <b/>
        <sz val="10"/>
        <color rgb="FF000000"/>
        <rFont val="楷体"/>
        <family val="3"/>
        <charset val="134"/>
      </rPr>
      <t xml:space="preserve">
进度超出的分析动作有效性、如何保持）</t>
    </r>
  </si>
  <si>
    <r>
      <rPr>
        <b/>
        <sz val="10"/>
        <color rgb="FF000000"/>
        <rFont val="楷体"/>
        <family val="3"/>
        <charset val="134"/>
      </rPr>
      <t xml:space="preserve">追赶动作 </t>
    </r>
    <r>
      <rPr>
        <b/>
        <sz val="10"/>
        <color rgb="FF000000"/>
        <rFont val="楷体"/>
        <family val="3"/>
        <charset val="134"/>
      </rPr>
      <t xml:space="preserve">
（锚定</t>
    </r>
    <r>
      <rPr>
        <b/>
        <sz val="10"/>
        <color rgb="FFC00000"/>
        <rFont val="楷体"/>
        <family val="3"/>
        <charset val="134"/>
      </rPr>
      <t>任务完成</t>
    </r>
    <r>
      <rPr>
        <b/>
        <sz val="10"/>
        <color rgb="FF000000"/>
        <rFont val="楷体"/>
        <family val="3"/>
        <charset val="134"/>
      </rPr>
      <t>的追赶动作，来访、转化、待签、团队等及</t>
    </r>
    <r>
      <rPr>
        <b/>
        <sz val="10"/>
        <color rgb="FFC00000"/>
        <rFont val="楷体"/>
        <family val="3"/>
        <charset val="134"/>
      </rPr>
      <t>对应目标，需要申请及支持的标注红色）</t>
    </r>
  </si>
  <si>
    <r>
      <rPr>
        <b/>
        <sz val="10"/>
        <color rgb="FF000000"/>
        <rFont val="楷体"/>
        <family val="3"/>
        <charset val="134"/>
      </rPr>
      <t>1、来访端:</t>
    </r>
    <r>
      <rPr>
        <sz val="10"/>
        <color rgb="FF000000"/>
        <rFont val="楷体"/>
        <family val="3"/>
        <charset val="134"/>
      </rPr>
      <t xml:space="preserve">
①利用</t>
    </r>
    <r>
      <rPr>
        <b/>
        <sz val="10"/>
        <color rgb="FF000000"/>
        <rFont val="楷体"/>
        <family val="3"/>
        <charset val="134"/>
      </rPr>
      <t>幼儿园改造围挡，增加阵地导视及园区接待引导</t>
    </r>
    <r>
      <rPr>
        <sz val="10"/>
        <color rgb="FF000000"/>
        <rFont val="楷体"/>
        <family val="3"/>
        <charset val="134"/>
      </rPr>
      <t>，保障阵地自然到访客户导入顺畅度；②</t>
    </r>
    <r>
      <rPr>
        <b/>
        <sz val="10"/>
        <color rgb="FFC00000"/>
        <rFont val="楷体"/>
        <family val="3"/>
        <charset val="134"/>
      </rPr>
      <t>持续加强清盘线上发声</t>
    </r>
    <r>
      <rPr>
        <sz val="10"/>
        <color rgb="FF000000"/>
        <rFont val="楷体"/>
        <family val="3"/>
        <charset val="134"/>
      </rPr>
      <t xml:space="preserve">，针对3-6月到访未成交客户交叉回访，搅动老客户资源需求再挖掘；③加强清盘发声，联动贝壳及58，利用热销持续带动；④利用会所场地，联动物业及客关针对已入住业主及即将入住业主，开展持续维系活动，释放清盘及推荐政策；
</t>
    </r>
    <r>
      <rPr>
        <b/>
        <sz val="10"/>
        <color rgb="FF000000"/>
        <rFont val="楷体"/>
        <family val="3"/>
        <charset val="134"/>
      </rPr>
      <t>2、转化端：</t>
    </r>
    <r>
      <rPr>
        <sz val="10"/>
        <color rgb="FF000000"/>
        <rFont val="楷体"/>
        <family val="3"/>
        <charset val="134"/>
      </rPr>
      <t xml:space="preserve">
①结合剩余库存结构，逐套制定引导说辞及价格优惠口径，一对一引导及相互挤压，针对性推荐适配客户；②接待地点搬入小区后，标准化要求接待动线，设置小区固定接待节点及对应说辞，强制要求接待时长，</t>
    </r>
    <r>
      <rPr>
        <sz val="10"/>
        <color rgb="FFC00000"/>
        <rFont val="楷体"/>
        <family val="3"/>
        <charset val="134"/>
      </rPr>
      <t>增加现杀及复访比例</t>
    </r>
    <r>
      <rPr>
        <sz val="10"/>
        <color rgb="FF000000"/>
        <rFont val="楷体"/>
        <family val="3"/>
        <charset val="134"/>
      </rPr>
      <t xml:space="preserve">；③加强后期物业服务细节，从客户带看动线上感受后期物业服务品质，加强客户转化；④剩余现房保鲜界面维持，输出现房保鲜维护视频，保障客户体验感；
</t>
    </r>
    <r>
      <rPr>
        <b/>
        <sz val="10"/>
        <color rgb="FF000000"/>
        <rFont val="楷体"/>
        <family val="3"/>
        <charset val="134"/>
      </rPr>
      <t>3、其他专项：</t>
    </r>
    <r>
      <rPr>
        <sz val="10"/>
        <color rgb="FFC00000"/>
        <rFont val="楷体"/>
        <family val="3"/>
        <charset val="134"/>
      </rPr>
      <t xml:space="preserve">
①重点关注最新的接待地点及动线，持续优化销售道具及细节说辞；</t>
    </r>
    <r>
      <rPr>
        <sz val="10"/>
        <color rgb="FF000000"/>
        <rFont val="楷体"/>
        <family val="3"/>
        <charset val="134"/>
      </rPr>
      <t xml:space="preserve">
②结合6月遛遛生活节主题，利用会所实景及入住业主生活，输出生活夏夜的生活景视频。</t>
    </r>
  </si>
  <si>
    <r>
      <rPr>
        <sz val="10"/>
        <color rgb="FF000000"/>
        <rFont val="楷体"/>
        <family val="3"/>
        <charset val="134"/>
      </rPr>
      <t>周口</t>
    </r>
    <r>
      <rPr>
        <sz val="10"/>
        <color rgb="FF000000"/>
        <rFont val="楷体"/>
        <family val="3"/>
        <charset val="134"/>
      </rPr>
      <t>龙堂</t>
    </r>
  </si>
  <si>
    <r>
      <rPr>
        <sz val="10"/>
        <color rgb="FF000000"/>
        <rFont val="楷体"/>
        <family val="3"/>
        <charset val="134"/>
      </rPr>
      <t>都会</t>
    </r>
    <r>
      <rPr>
        <sz val="10"/>
        <color rgb="FF000000"/>
        <rFont val="楷体"/>
        <family val="3"/>
        <charset val="134"/>
      </rPr>
      <t>天际</t>
    </r>
  </si>
  <si>
    <r>
      <rPr>
        <sz val="10"/>
        <color rgb="FF000000"/>
        <rFont val="楷体"/>
        <family val="3"/>
        <charset val="134"/>
      </rPr>
      <t>未来</t>
    </r>
    <r>
      <rPr>
        <sz val="10"/>
        <color rgb="FF000000"/>
        <rFont val="楷体"/>
        <family val="3"/>
        <charset val="134"/>
      </rPr>
      <t>时光</t>
    </r>
  </si>
  <si>
    <r>
      <rPr>
        <sz val="10"/>
        <color rgb="FF000000"/>
        <rFont val="楷体"/>
        <family val="3"/>
        <charset val="134"/>
      </rPr>
      <t>翠湾</t>
    </r>
    <r>
      <rPr>
        <sz val="10"/>
        <color rgb="FF000000"/>
        <rFont val="楷体"/>
        <family val="3"/>
        <charset val="134"/>
      </rPr>
      <t>中城</t>
    </r>
  </si>
  <si>
    <r>
      <rPr>
        <sz val="10"/>
        <color rgb="FF000000"/>
        <rFont val="楷体"/>
        <family val="3"/>
        <charset val="134"/>
      </rPr>
      <t>雲河</t>
    </r>
    <r>
      <rPr>
        <sz val="10"/>
        <color rgb="FF000000"/>
        <rFont val="楷体"/>
        <family val="3"/>
        <charset val="134"/>
      </rPr>
      <t>锦上</t>
    </r>
  </si>
  <si>
    <r>
      <rPr>
        <sz val="10"/>
        <color rgb="FF000000"/>
        <rFont val="楷体"/>
        <family val="3"/>
        <charset val="134"/>
      </rPr>
      <t>古翠</t>
    </r>
    <r>
      <rPr>
        <sz val="10"/>
        <color rgb="FF000000"/>
        <rFont val="楷体"/>
        <family val="3"/>
        <charset val="134"/>
      </rPr>
      <t>隐秀</t>
    </r>
  </si>
  <si>
    <t>冲刺新增</t>
    <phoneticPr fontId="27" type="noConversion"/>
  </si>
  <si>
    <t>冲刺达成</t>
    <phoneticPr fontId="27" type="noConversion"/>
  </si>
  <si>
    <t>未来时光车位</t>
    <phoneticPr fontId="27" type="noConversion"/>
  </si>
  <si>
    <t>洛阳车位</t>
    <phoneticPr fontId="27" type="noConversion"/>
  </si>
  <si>
    <t>0715冲刺</t>
    <phoneticPr fontId="27" type="noConversion"/>
  </si>
  <si>
    <t>差异</t>
    <phoneticPr fontId="27" type="noConversion"/>
  </si>
  <si>
    <t>兰乔商铺</t>
    <phoneticPr fontId="27" type="noConversion"/>
  </si>
  <si>
    <t>0715冲刺签约</t>
    <phoneticPr fontId="27" type="noConversion"/>
  </si>
  <si>
    <t>待签不可签</t>
    <phoneticPr fontId="27" type="noConversion"/>
  </si>
  <si>
    <t>④其中：以旧换新可签+FX</t>
    <phoneticPr fontId="27" type="noConversion"/>
  </si>
  <si>
    <t>合同付款申请-K-都会天际项目-销售代理费及佣金-自销佣金-华中唯家郑州万科安达房(珠海横琴)房地产经纪有限公司郑州分公司-2024年5月销售代理佣金金地产开发有限公额结算-付款金额316797.72 元-6%销售佣金</t>
    <phoneticPr fontId="27" type="noConversion"/>
  </si>
  <si>
    <t>区域完成率</t>
    <phoneticPr fontId="27" type="noConversion"/>
  </si>
  <si>
    <t>开经完成率</t>
    <phoneticPr fontId="27" type="noConversion"/>
  </si>
  <si>
    <t>已交付区域景观绿化及架空层、实景样板间持续保证品质呈现保证客户参观体验</t>
    <phoneticPr fontId="27" type="noConversion"/>
  </si>
  <si>
    <t>云图</t>
    <phoneticPr fontId="27" type="noConversion"/>
  </si>
  <si>
    <t>社区品质</t>
    <phoneticPr fontId="27" type="noConversion"/>
  </si>
  <si>
    <t>已交付住宅渗漏问题解决（维修、工程、客关）</t>
    <phoneticPr fontId="27" type="noConversion"/>
  </si>
  <si>
    <t>洋房18/25复工通过，未取证，目前滞后一个月</t>
    <phoneticPr fontId="27" type="noConversion"/>
  </si>
  <si>
    <t>北京联策鲸彩文化传播有限公司</t>
    <phoneticPr fontId="27" type="noConversion"/>
  </si>
  <si>
    <t>2023年11月-2024年1月古翠隐秀广告公司费用</t>
    <phoneticPr fontId="27" type="noConversion"/>
  </si>
  <si>
    <t>紧急【人员工资】</t>
    <phoneticPr fontId="27" type="noConversion"/>
  </si>
  <si>
    <t>持续维修</t>
  </si>
  <si>
    <t>高评政策FX待付款22万（欠款）</t>
    <phoneticPr fontId="27" type="noConversion"/>
  </si>
  <si>
    <t>周会-冲刺版</t>
    <phoneticPr fontId="27" type="noConversion"/>
  </si>
  <si>
    <t>其中包含FX8套，605万；17#网签未解锁6套，427万</t>
    <phoneticPr fontId="27" type="noConversion"/>
  </si>
  <si>
    <t>认购冲刺目标</t>
    <phoneticPr fontId="27" type="noConversion"/>
  </si>
  <si>
    <t>尾盘车位（含大单）</t>
    <phoneticPr fontId="27" type="noConversion"/>
  </si>
  <si>
    <t>公司合计</t>
    <phoneticPr fontId="27" type="noConversion"/>
  </si>
  <si>
    <t>0721已转签</t>
    <phoneticPr fontId="27" type="noConversion"/>
  </si>
  <si>
    <t>已签未转</t>
    <phoneticPr fontId="27" type="noConversion"/>
  </si>
  <si>
    <t>待签可签</t>
    <phoneticPr fontId="27" type="noConversion"/>
  </si>
  <si>
    <t>以旧换新可签+FX</t>
    <phoneticPr fontId="27" type="noConversion"/>
  </si>
  <si>
    <t>认购</t>
    <phoneticPr fontId="27" type="noConversion"/>
  </si>
  <si>
    <t>签约</t>
    <phoneticPr fontId="27" type="noConversion"/>
  </si>
  <si>
    <t>开经版任务</t>
    <phoneticPr fontId="27" type="noConversion"/>
  </si>
  <si>
    <t>认购摸底</t>
    <phoneticPr fontId="27" type="noConversion"/>
  </si>
  <si>
    <t>签约摸底</t>
    <phoneticPr fontId="27" type="noConversion"/>
  </si>
  <si>
    <t>已认购</t>
    <phoneticPr fontId="27" type="noConversion"/>
  </si>
  <si>
    <t>/</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</si>
</sst>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Red]\(#,##0\)"/>
    <numFmt numFmtId="177" formatCode="m&quot;月&quot;d&quot;日&quot;;@"/>
    <numFmt numFmtId="178" formatCode="0.0"/>
    <numFmt numFmtId="179" formatCode="#,##0.00_ ;@"/>
    <numFmt numFmtId="180" formatCode="0.0_ "/>
    <numFmt numFmtId="181" formatCode="0.00_ "/>
  </numFmts>
  <fonts count="34" x14ac:knownFonts="1">
    <font>
      <sz val="11"/>
      <color theme="1"/>
      <name val="等线"/>
      <family val="2"/>
      <charset val="134"/>
      <scheme val="minor"/>
    </font>
    <font>
      <b/>
      <sz val="10"/>
      <name val="楷体"/>
      <family val="3"/>
      <charset val="134"/>
    </font>
    <font>
      <sz val="10"/>
      <name val="楷体"/>
      <family val="3"/>
      <charset val="134"/>
    </font>
    <font>
      <sz val="10"/>
      <name val="楷体"/>
      <family val="3"/>
      <charset val="134"/>
    </font>
    <font>
      <b/>
      <sz val="10"/>
      <color rgb="FFC00000"/>
      <name val="楷体"/>
      <family val="3"/>
      <charset val="134"/>
    </font>
    <font>
      <b/>
      <sz val="10"/>
      <name val="楷体"/>
      <family val="3"/>
      <charset val="134"/>
    </font>
    <font>
      <sz val="10"/>
      <color theme="1"/>
      <name val="楷体"/>
      <family val="3"/>
      <charset val="134"/>
    </font>
    <font>
      <b/>
      <sz val="10"/>
      <color rgb="FFC00000"/>
      <name val="楷体"/>
      <family val="3"/>
      <charset val="134"/>
    </font>
    <font>
      <sz val="10"/>
      <color rgb="FF000000"/>
      <name val="楷体"/>
      <family val="3"/>
      <charset val="134"/>
    </font>
    <font>
      <sz val="10"/>
      <color theme="1"/>
      <name val="等线"/>
      <family val="3"/>
      <charset val="134"/>
      <scheme val="minor"/>
    </font>
    <font>
      <sz val="10"/>
      <color rgb="FFC00000"/>
      <name val="楷体"/>
      <family val="3"/>
      <charset val="134"/>
    </font>
    <font>
      <sz val="10"/>
      <name val="楷体"/>
      <family val="3"/>
      <charset val="134"/>
    </font>
    <font>
      <b/>
      <sz val="12"/>
      <color rgb="FFC00000"/>
      <name val="楷体"/>
      <family val="3"/>
      <charset val="134"/>
    </font>
    <font>
      <sz val="11"/>
      <name val="Arial"/>
      <family val="2"/>
    </font>
    <font>
      <b/>
      <sz val="14"/>
      <color rgb="FFC00000"/>
      <name val="KaiTi"/>
      <family val="3"/>
      <charset val="134"/>
    </font>
    <font>
      <b/>
      <sz val="10"/>
      <name val="KaiTi"/>
      <family val="3"/>
      <charset val="134"/>
    </font>
    <font>
      <sz val="10"/>
      <name val="KaiTi"/>
      <family val="3"/>
      <charset val="134"/>
    </font>
    <font>
      <b/>
      <sz val="14"/>
      <color rgb="FFFF0000"/>
      <name val="楷体"/>
      <family val="3"/>
      <charset val="134"/>
    </font>
    <font>
      <sz val="10"/>
      <color rgb="FF000000"/>
      <name val="楷体"/>
      <family val="3"/>
      <charset val="134"/>
    </font>
    <font>
      <sz val="9"/>
      <color rgb="FF000000"/>
      <name val="楷体"/>
      <family val="3"/>
      <charset val="134"/>
    </font>
    <font>
      <sz val="9"/>
      <name val="楷体"/>
      <family val="3"/>
      <charset val="134"/>
    </font>
    <font>
      <sz val="11"/>
      <name val="KaiTi"/>
      <family val="3"/>
      <charset val="134"/>
    </font>
    <font>
      <b/>
      <sz val="10"/>
      <color rgb="FFFF0000"/>
      <name val="楷体"/>
      <family val="3"/>
      <charset val="134"/>
    </font>
    <font>
      <sz val="9"/>
      <name val="等线"/>
      <family val="3"/>
      <charset val="134"/>
    </font>
    <font>
      <sz val="10"/>
      <color theme="1"/>
      <name val="等线"/>
      <family val="2"/>
      <charset val="134"/>
      <scheme val="minor"/>
    </font>
    <font>
      <sz val="10"/>
      <color theme="1"/>
      <name val="等线"/>
      <family val="2"/>
      <charset val="134"/>
    </font>
    <font>
      <b/>
      <sz val="10"/>
      <color rgb="FF000000"/>
      <name val="楷体"/>
      <family val="3"/>
      <charset val="134"/>
    </font>
    <font>
      <sz val="9"/>
      <name val="等线"/>
      <family val="2"/>
      <charset val="134"/>
      <scheme val="minor"/>
    </font>
    <font>
      <sz val="10"/>
      <color rgb="FFFF0000"/>
      <name val="楷体"/>
      <family val="3"/>
      <charset val="134"/>
    </font>
    <font>
      <sz val="9"/>
      <color rgb="FFFF0000"/>
      <name val="楷体"/>
      <family val="3"/>
      <charset val="134"/>
    </font>
    <font>
      <sz val="9"/>
      <color indexed="81"/>
      <name val="宋体"/>
      <family val="3"/>
      <charset val="134"/>
    </font>
    <font>
      <b/>
      <sz val="9"/>
      <color indexed="81"/>
      <name val="宋体"/>
      <family val="3"/>
      <charset val="134"/>
    </font>
    <font>
      <b/>
      <sz val="11"/>
      <color theme="1"/>
      <name val="等线"/>
      <family val="2"/>
      <charset val="134"/>
      <scheme val="minor"/>
    </font>
    <font>
      <b/>
      <sz val="10"/>
      <color theme="1"/>
      <name val="楷体"/>
      <family val="3"/>
      <charset val="134"/>
    </font>
  </fonts>
  <fills count="14">
    <fill>
      <patternFill patternType="none"/>
    </fill>
    <fill>
      <patternFill patternType="gray125"/>
    </fill>
    <fill>
      <patternFill patternType="none"/>
    </fill>
    <fill>
      <patternFill patternType="solid">
        <fgColor theme="8" tint="0.79998168889431442"/>
        <bgColor indexed="64"/>
      </patternFill>
    </fill>
    <fill>
      <patternFill patternType="solid">
        <fgColor rgb="FFFFFF00"/>
        <bgColor auto="1"/>
      </patternFill>
    </fill>
    <fill>
      <patternFill patternType="solid">
        <fgColor theme="7" tint="0.79998168889431442"/>
        <bgColor indexed="64"/>
      </patternFill>
    </fill>
    <fill>
      <patternFill patternType="none"/>
    </fill>
    <fill>
      <patternFill patternType="none"/>
    </fill>
    <fill>
      <patternFill patternType="none"/>
    </fill>
    <fill>
      <patternFill patternType="none"/>
    </fill>
    <fill>
      <patternFill patternType="solid">
        <fgColor rgb="FFFFFFFF"/>
        <bgColor auto="1"/>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s>
  <borders count="3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09">
    <xf numFmtId="0" fontId="0" fillId="0" borderId="0" xfId="0">
      <alignment vertical="center"/>
    </xf>
    <xf numFmtId="0" fontId="1" fillId="2" borderId="1" xfId="0" applyFont="1" applyFill="1" applyBorder="1" applyAlignment="1">
      <alignment horizontal="left" vertical="center"/>
    </xf>
    <xf numFmtId="0" fontId="2" fillId="2" borderId="0"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3" fontId="2" fillId="2" borderId="0" xfId="0" applyNumberFormat="1" applyFont="1" applyFill="1" applyBorder="1" applyAlignment="1">
      <alignment horizontal="center" vertical="center"/>
    </xf>
    <xf numFmtId="3" fontId="3" fillId="2" borderId="1" xfId="0" applyNumberFormat="1" applyFont="1" applyFill="1" applyBorder="1" applyAlignment="1">
      <alignment horizontal="center" vertical="center"/>
    </xf>
    <xf numFmtId="0" fontId="5" fillId="2" borderId="0" xfId="0" applyFont="1" applyFill="1" applyBorder="1" applyAlignment="1">
      <alignment horizontal="left" vertical="center"/>
    </xf>
    <xf numFmtId="0" fontId="1" fillId="2" borderId="1" xfId="0" applyFont="1" applyFill="1" applyBorder="1" applyAlignment="1">
      <alignment horizontal="left" vertical="center"/>
    </xf>
    <xf numFmtId="0" fontId="1" fillId="2" borderId="2" xfId="0" applyFont="1" applyFill="1" applyBorder="1" applyAlignment="1">
      <alignment horizontal="center" vertical="center"/>
    </xf>
    <xf numFmtId="0" fontId="5" fillId="2" borderId="6" xfId="0" applyFont="1" applyFill="1" applyBorder="1" applyAlignment="1">
      <alignment horizontal="center" vertical="center"/>
    </xf>
    <xf numFmtId="0" fontId="1" fillId="2" borderId="2" xfId="0" applyFont="1" applyFill="1" applyBorder="1" applyAlignment="1">
      <alignment horizontal="left" vertical="center"/>
    </xf>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1" fillId="4" borderId="2" xfId="0" applyFont="1" applyFill="1" applyBorder="1" applyAlignment="1">
      <alignment horizontal="left" vertical="center" wrapText="1"/>
    </xf>
    <xf numFmtId="0" fontId="4" fillId="2"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176" fontId="4" fillId="2" borderId="2" xfId="0" applyNumberFormat="1" applyFont="1" applyFill="1" applyBorder="1" applyAlignment="1">
      <alignment horizontal="center" vertical="center"/>
    </xf>
    <xf numFmtId="176" fontId="4" fillId="5" borderId="2" xfId="0" applyNumberFormat="1" applyFont="1" applyFill="1" applyBorder="1" applyAlignment="1">
      <alignment horizontal="center" vertical="center"/>
    </xf>
    <xf numFmtId="9" fontId="7" fillId="2" borderId="6" xfId="0" applyNumberFormat="1" applyFont="1" applyFill="1" applyBorder="1" applyAlignment="1">
      <alignment horizontal="center" vertical="center"/>
    </xf>
    <xf numFmtId="9" fontId="4" fillId="2" borderId="2" xfId="0" applyNumberFormat="1" applyFont="1" applyFill="1" applyBorder="1" applyAlignment="1">
      <alignment horizontal="center" vertical="center"/>
    </xf>
    <xf numFmtId="176" fontId="7" fillId="2" borderId="6" xfId="0" applyNumberFormat="1" applyFont="1" applyFill="1" applyBorder="1" applyAlignment="1">
      <alignment horizontal="center" vertical="center"/>
    </xf>
    <xf numFmtId="0" fontId="4" fillId="2" borderId="2" xfId="0" applyFont="1" applyFill="1" applyBorder="1" applyAlignment="1">
      <alignment horizontal="left" vertical="center"/>
    </xf>
    <xf numFmtId="9" fontId="8" fillId="2" borderId="6" xfId="0" applyNumberFormat="1" applyFont="1" applyFill="1" applyBorder="1" applyAlignment="1">
      <alignment horizontal="center" vertical="center"/>
    </xf>
    <xf numFmtId="0" fontId="3" fillId="2" borderId="2" xfId="0" applyFont="1" applyFill="1" applyBorder="1" applyAlignment="1">
      <alignment horizontal="center" vertical="center"/>
    </xf>
    <xf numFmtId="176" fontId="2" fillId="3" borderId="6" xfId="0" applyNumberFormat="1" applyFont="1" applyFill="1" applyBorder="1" applyAlignment="1">
      <alignment horizontal="center" vertical="center"/>
    </xf>
    <xf numFmtId="176" fontId="3" fillId="3" borderId="2" xfId="0" applyNumberFormat="1" applyFont="1" applyFill="1" applyBorder="1" applyAlignment="1">
      <alignment horizontal="center" vertical="center"/>
    </xf>
    <xf numFmtId="176" fontId="3" fillId="2" borderId="2"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5" borderId="2" xfId="0" applyNumberFormat="1" applyFont="1" applyFill="1" applyBorder="1" applyAlignment="1">
      <alignment horizontal="center" vertical="center"/>
    </xf>
    <xf numFmtId="9" fontId="3" fillId="2" borderId="2" xfId="0" applyNumberFormat="1" applyFont="1" applyFill="1" applyBorder="1" applyAlignment="1">
      <alignment horizontal="center" vertical="center"/>
    </xf>
    <xf numFmtId="176" fontId="3" fillId="6" borderId="2" xfId="0" applyNumberFormat="1" applyFont="1" applyFill="1" applyBorder="1" applyAlignment="1">
      <alignment horizontal="center" vertical="center"/>
    </xf>
    <xf numFmtId="176" fontId="3" fillId="6" borderId="7" xfId="0" applyNumberFormat="1" applyFont="1" applyFill="1" applyBorder="1" applyAlignment="1">
      <alignment horizontal="center" vertical="center"/>
    </xf>
    <xf numFmtId="176" fontId="2" fillId="6" borderId="6" xfId="0" applyNumberFormat="1" applyFont="1" applyFill="1" applyBorder="1" applyAlignment="1">
      <alignment horizontal="center" vertical="center"/>
    </xf>
    <xf numFmtId="9" fontId="2" fillId="2" borderId="6" xfId="0" applyNumberFormat="1" applyFont="1" applyFill="1" applyBorder="1" applyAlignment="1">
      <alignment horizontal="center" vertical="center"/>
    </xf>
    <xf numFmtId="0" fontId="3" fillId="2" borderId="2" xfId="0" applyFont="1" applyFill="1" applyBorder="1" applyAlignment="1">
      <alignment horizontal="left" vertical="center"/>
    </xf>
    <xf numFmtId="176" fontId="3" fillId="6" borderId="8" xfId="0" applyNumberFormat="1" applyFont="1" applyFill="1" applyBorder="1" applyAlignment="1">
      <alignment horizontal="center" vertical="center"/>
    </xf>
    <xf numFmtId="176" fontId="3" fillId="6" borderId="9" xfId="0" applyNumberFormat="1" applyFont="1" applyFill="1" applyBorder="1" applyAlignment="1">
      <alignment horizontal="center" vertical="center"/>
    </xf>
    <xf numFmtId="176" fontId="3" fillId="7" borderId="2" xfId="0" applyNumberFormat="1" applyFont="1" applyFill="1" applyBorder="1" applyAlignment="1">
      <alignment horizontal="center" vertical="center"/>
    </xf>
    <xf numFmtId="176" fontId="3" fillId="8" borderId="10" xfId="0" applyNumberFormat="1" applyFont="1" applyFill="1" applyBorder="1" applyAlignment="1">
      <alignment horizontal="center" vertical="center"/>
    </xf>
    <xf numFmtId="176" fontId="3" fillId="8" borderId="11" xfId="0" applyNumberFormat="1" applyFont="1" applyFill="1" applyBorder="1" applyAlignment="1">
      <alignment horizontal="center" vertical="center"/>
    </xf>
    <xf numFmtId="176" fontId="2" fillId="8" borderId="6" xfId="0" applyNumberFormat="1" applyFont="1" applyFill="1" applyBorder="1" applyAlignment="1">
      <alignment horizontal="center" vertical="center"/>
    </xf>
    <xf numFmtId="176" fontId="3" fillId="8" borderId="2" xfId="0" applyNumberFormat="1" applyFont="1" applyFill="1" applyBorder="1" applyAlignment="1">
      <alignment horizontal="center" vertical="center"/>
    </xf>
    <xf numFmtId="176" fontId="3" fillId="8" borderId="6" xfId="0" applyNumberFormat="1" applyFont="1" applyFill="1" applyBorder="1" applyAlignment="1">
      <alignment horizontal="center" vertical="center"/>
    </xf>
    <xf numFmtId="0" fontId="2" fillId="2" borderId="0" xfId="0" applyFont="1" applyFill="1" applyBorder="1">
      <alignment vertical="center"/>
    </xf>
    <xf numFmtId="0" fontId="3" fillId="7" borderId="2" xfId="0" applyFont="1" applyFill="1" applyBorder="1" applyAlignment="1">
      <alignment horizontal="left" vertical="center"/>
    </xf>
    <xf numFmtId="9" fontId="2" fillId="7" borderId="6" xfId="0" applyNumberFormat="1" applyFont="1" applyFill="1" applyBorder="1" applyAlignment="1">
      <alignment horizontal="center" vertical="center"/>
    </xf>
    <xf numFmtId="0" fontId="3" fillId="2" borderId="6" xfId="0" applyFont="1" applyFill="1" applyBorder="1" applyAlignment="1">
      <alignment horizontal="left" vertical="center"/>
    </xf>
    <xf numFmtId="0" fontId="3" fillId="7" borderId="2" xfId="0" applyFont="1" applyFill="1" applyBorder="1" applyAlignment="1">
      <alignment horizontal="center" vertical="center"/>
    </xf>
    <xf numFmtId="9" fontId="3" fillId="7" borderId="2" xfId="0" applyNumberFormat="1" applyFont="1" applyFill="1" applyBorder="1" applyAlignment="1">
      <alignment horizontal="center" vertical="center"/>
    </xf>
    <xf numFmtId="0" fontId="3" fillId="2" borderId="12" xfId="0" applyFont="1" applyFill="1" applyBorder="1" applyAlignment="1">
      <alignment horizontal="center" vertical="center"/>
    </xf>
    <xf numFmtId="176" fontId="2" fillId="3" borderId="13" xfId="0" applyNumberFormat="1" applyFont="1" applyFill="1" applyBorder="1" applyAlignment="1">
      <alignment horizontal="center" vertical="center"/>
    </xf>
    <xf numFmtId="176" fontId="3" fillId="2" borderId="12" xfId="0" applyNumberFormat="1" applyFont="1" applyFill="1" applyBorder="1" applyAlignment="1">
      <alignment horizontal="center" vertical="center"/>
    </xf>
    <xf numFmtId="176" fontId="3" fillId="5" borderId="12" xfId="0" applyNumberFormat="1" applyFont="1" applyFill="1" applyBorder="1" applyAlignment="1">
      <alignment horizontal="center" vertical="center"/>
    </xf>
    <xf numFmtId="9" fontId="3" fillId="2" borderId="12" xfId="0" applyNumberFormat="1" applyFont="1" applyFill="1" applyBorder="1" applyAlignment="1">
      <alignment horizontal="center" vertical="center"/>
    </xf>
    <xf numFmtId="176" fontId="3" fillId="6" borderId="12" xfId="0" applyNumberFormat="1" applyFont="1" applyFill="1" applyBorder="1" applyAlignment="1">
      <alignment horizontal="center" vertical="center"/>
    </xf>
    <xf numFmtId="176" fontId="2" fillId="6" borderId="13" xfId="0" applyNumberFormat="1" applyFont="1" applyFill="1" applyBorder="1" applyAlignment="1">
      <alignment horizontal="center" vertical="center"/>
    </xf>
    <xf numFmtId="0" fontId="3" fillId="2" borderId="12" xfId="0" applyFont="1" applyFill="1" applyBorder="1" applyAlignment="1">
      <alignment horizontal="left" vertical="center"/>
    </xf>
    <xf numFmtId="176" fontId="2" fillId="2" borderId="0" xfId="0" applyNumberFormat="1" applyFont="1" applyFill="1" applyBorder="1">
      <alignment vertical="center"/>
    </xf>
    <xf numFmtId="176" fontId="3" fillId="2" borderId="14" xfId="0" applyNumberFormat="1" applyFont="1" applyFill="1" applyBorder="1">
      <alignment vertical="center"/>
    </xf>
    <xf numFmtId="176" fontId="3" fillId="2" borderId="15" xfId="0" applyNumberFormat="1" applyFont="1" applyFill="1" applyBorder="1">
      <alignment vertical="center"/>
    </xf>
    <xf numFmtId="176" fontId="3" fillId="6" borderId="15" xfId="0" applyNumberFormat="1" applyFont="1" applyFill="1" applyBorder="1">
      <alignment vertical="center"/>
    </xf>
    <xf numFmtId="176" fontId="2" fillId="6" borderId="0" xfId="0" applyNumberFormat="1" applyFont="1" applyFill="1" applyBorder="1">
      <alignment vertical="center"/>
    </xf>
    <xf numFmtId="0" fontId="9" fillId="2" borderId="1" xfId="0" applyFont="1" applyFill="1" applyBorder="1" applyAlignment="1">
      <alignment horizontal="left" vertical="center"/>
    </xf>
    <xf numFmtId="0" fontId="3" fillId="2" borderId="16" xfId="0" applyFont="1" applyFill="1" applyBorder="1" applyAlignment="1">
      <alignment horizontal="center" vertical="center"/>
    </xf>
    <xf numFmtId="176" fontId="2" fillId="3" borderId="17" xfId="0" applyNumberFormat="1" applyFont="1" applyFill="1" applyBorder="1" applyAlignment="1">
      <alignment horizontal="center" vertical="center"/>
    </xf>
    <xf numFmtId="176" fontId="3" fillId="3" borderId="17" xfId="0" applyNumberFormat="1" applyFont="1" applyFill="1" applyBorder="1" applyAlignment="1">
      <alignment horizontal="center" vertical="center"/>
    </xf>
    <xf numFmtId="176" fontId="3" fillId="7" borderId="16" xfId="0" applyNumberFormat="1" applyFont="1" applyFill="1" applyBorder="1" applyAlignment="1">
      <alignment horizontal="center" vertical="center"/>
    </xf>
    <xf numFmtId="176" fontId="3" fillId="5" borderId="16" xfId="0" applyNumberFormat="1" applyFont="1" applyFill="1" applyBorder="1" applyAlignment="1">
      <alignment horizontal="center" vertical="center"/>
    </xf>
    <xf numFmtId="9" fontId="2" fillId="2" borderId="17" xfId="0" applyNumberFormat="1" applyFont="1" applyFill="1" applyBorder="1" applyAlignment="1">
      <alignment horizontal="center" vertical="center"/>
    </xf>
    <xf numFmtId="9" fontId="3" fillId="2" borderId="16" xfId="0" applyNumberFormat="1" applyFont="1" applyFill="1" applyBorder="1" applyAlignment="1">
      <alignment horizontal="center" vertical="center"/>
    </xf>
    <xf numFmtId="176" fontId="3" fillId="6" borderId="16" xfId="0" applyNumberFormat="1" applyFont="1" applyFill="1" applyBorder="1" applyAlignment="1">
      <alignment horizontal="center" vertical="center"/>
    </xf>
    <xf numFmtId="176" fontId="2" fillId="6" borderId="17" xfId="0" applyNumberFormat="1" applyFont="1" applyFill="1" applyBorder="1" applyAlignment="1">
      <alignment horizontal="center" vertical="center"/>
    </xf>
    <xf numFmtId="0" fontId="2" fillId="2" borderId="17" xfId="0" applyFont="1" applyFill="1" applyBorder="1" applyAlignment="1">
      <alignment horizontal="center" vertical="center"/>
    </xf>
    <xf numFmtId="0" fontId="3" fillId="2" borderId="16" xfId="0" applyFont="1" applyFill="1" applyBorder="1" applyAlignment="1">
      <alignment horizontal="left" vertical="center"/>
    </xf>
    <xf numFmtId="176" fontId="3" fillId="3" borderId="16" xfId="0" applyNumberFormat="1" applyFont="1" applyFill="1" applyBorder="1" applyAlignment="1">
      <alignment horizontal="center" vertical="center"/>
    </xf>
    <xf numFmtId="176" fontId="2" fillId="0" borderId="17" xfId="0" applyNumberFormat="1" applyFont="1" applyFill="1" applyBorder="1" applyAlignment="1">
      <alignment horizontal="center" vertical="center"/>
    </xf>
    <xf numFmtId="0" fontId="3" fillId="7"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5" xfId="0" applyFont="1" applyFill="1" applyBorder="1">
      <alignment vertical="center"/>
    </xf>
    <xf numFmtId="0" fontId="3" fillId="7" borderId="15" xfId="0" applyFont="1" applyFill="1" applyBorder="1">
      <alignment vertical="center"/>
    </xf>
    <xf numFmtId="0" fontId="1" fillId="6" borderId="2" xfId="0" applyFont="1" applyFill="1" applyBorder="1" applyAlignment="1">
      <alignment horizontal="center" vertical="center"/>
    </xf>
    <xf numFmtId="0" fontId="3" fillId="9" borderId="15"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1" fillId="9" borderId="6" xfId="0" applyFont="1" applyFill="1" applyBorder="1" applyAlignment="1">
      <alignment horizontal="center" vertical="center" wrapText="1"/>
    </xf>
    <xf numFmtId="0" fontId="4" fillId="6" borderId="2" xfId="0" applyFont="1" applyFill="1" applyBorder="1" applyAlignment="1">
      <alignment horizontal="center" vertical="center"/>
    </xf>
    <xf numFmtId="176" fontId="4" fillId="6" borderId="2" xfId="0" applyNumberFormat="1" applyFont="1" applyFill="1" applyBorder="1" applyAlignment="1">
      <alignment horizontal="center" vertical="center"/>
    </xf>
    <xf numFmtId="176" fontId="7" fillId="6" borderId="6" xfId="0" applyNumberFormat="1" applyFont="1" applyFill="1" applyBorder="1" applyAlignment="1">
      <alignment horizontal="center" vertical="center"/>
    </xf>
    <xf numFmtId="9" fontId="7" fillId="6" borderId="6" xfId="0" applyNumberFormat="1" applyFont="1" applyFill="1" applyBorder="1" applyAlignment="1">
      <alignment horizontal="center" vertical="center"/>
    </xf>
    <xf numFmtId="9" fontId="4" fillId="9" borderId="6" xfId="0" applyNumberFormat="1" applyFont="1" applyFill="1" applyBorder="1" applyAlignment="1">
      <alignment horizontal="center" vertical="center"/>
    </xf>
    <xf numFmtId="0" fontId="10" fillId="9" borderId="15" xfId="0" applyFont="1" applyFill="1" applyBorder="1">
      <alignment vertical="center"/>
    </xf>
    <xf numFmtId="0" fontId="3" fillId="6" borderId="2" xfId="0" applyFont="1" applyFill="1" applyBorder="1" applyAlignment="1">
      <alignment horizontal="center" vertical="center"/>
    </xf>
    <xf numFmtId="9" fontId="2" fillId="6" borderId="6" xfId="0" applyNumberFormat="1" applyFont="1" applyFill="1" applyBorder="1" applyAlignment="1">
      <alignment horizontal="center" vertical="center"/>
    </xf>
    <xf numFmtId="9" fontId="3" fillId="9" borderId="6" xfId="0" applyNumberFormat="1" applyFont="1" applyFill="1" applyBorder="1" applyAlignment="1">
      <alignment horizontal="center" vertical="center"/>
    </xf>
    <xf numFmtId="0" fontId="3" fillId="9" borderId="15" xfId="0" applyFont="1" applyFill="1" applyBorder="1">
      <alignment vertical="center"/>
    </xf>
    <xf numFmtId="176" fontId="3" fillId="6" borderId="6" xfId="0" applyNumberFormat="1" applyFont="1" applyFill="1" applyBorder="1" applyAlignment="1">
      <alignment horizontal="center" vertical="center"/>
    </xf>
    <xf numFmtId="0" fontId="2" fillId="6" borderId="0" xfId="0" applyFont="1" applyFill="1" applyBorder="1">
      <alignment vertical="center"/>
    </xf>
    <xf numFmtId="0" fontId="11" fillId="0" borderId="0" xfId="0" applyFont="1" applyFill="1" applyBorder="1">
      <alignment vertical="center"/>
    </xf>
    <xf numFmtId="0" fontId="3" fillId="6" borderId="1" xfId="0" applyFont="1" applyFill="1" applyBorder="1" applyAlignment="1">
      <alignment horizontal="center" vertical="center"/>
    </xf>
    <xf numFmtId="0" fontId="2" fillId="6" borderId="0" xfId="0" applyFont="1" applyFill="1" applyBorder="1" applyAlignment="1">
      <alignment horizontal="center" vertical="center"/>
    </xf>
    <xf numFmtId="0" fontId="3" fillId="9" borderId="15" xfId="0" applyFont="1" applyFill="1" applyBorder="1" applyAlignment="1">
      <alignment horizontal="center" vertical="center"/>
    </xf>
    <xf numFmtId="0" fontId="3" fillId="6" borderId="15" xfId="0" applyFont="1" applyFill="1" applyBorder="1">
      <alignment vertical="center"/>
    </xf>
    <xf numFmtId="0" fontId="12" fillId="10" borderId="0" xfId="0" applyFont="1" applyFill="1" applyBorder="1" applyAlignment="1">
      <alignment horizontal="left" vertical="center"/>
    </xf>
    <xf numFmtId="0" fontId="5" fillId="7" borderId="17" xfId="0" applyFont="1" applyFill="1" applyBorder="1" applyAlignment="1">
      <alignment horizontal="center" vertical="center"/>
    </xf>
    <xf numFmtId="0" fontId="5" fillId="2" borderId="17" xfId="0" applyFont="1" applyFill="1" applyBorder="1" applyAlignment="1">
      <alignment horizontal="center" vertical="center" wrapText="1"/>
    </xf>
    <xf numFmtId="0" fontId="5" fillId="4" borderId="17" xfId="0" applyFont="1" applyFill="1" applyBorder="1" applyAlignment="1">
      <alignment horizontal="center" vertical="center" wrapText="1"/>
    </xf>
    <xf numFmtId="0" fontId="2" fillId="7" borderId="17" xfId="0" applyFont="1" applyFill="1" applyBorder="1" applyAlignment="1">
      <alignment horizontal="center" vertical="center"/>
    </xf>
    <xf numFmtId="0" fontId="2" fillId="2" borderId="17" xfId="0" applyFont="1" applyFill="1" applyBorder="1" applyAlignment="1">
      <alignment horizontal="center" vertical="center" wrapText="1"/>
    </xf>
    <xf numFmtId="0" fontId="2" fillId="2" borderId="17" xfId="0" applyFont="1" applyFill="1" applyBorder="1" applyAlignment="1">
      <alignment horizontal="left" vertical="center" wrapText="1"/>
    </xf>
    <xf numFmtId="0" fontId="2" fillId="7" borderId="17" xfId="0" applyFont="1" applyFill="1" applyBorder="1" applyAlignment="1">
      <alignment horizontal="left" vertical="center" wrapText="1"/>
    </xf>
    <xf numFmtId="0" fontId="2" fillId="9" borderId="17" xfId="0" applyFont="1" applyFill="1" applyBorder="1" applyAlignment="1">
      <alignment horizontal="left" vertical="center" wrapText="1"/>
    </xf>
    <xf numFmtId="0" fontId="13" fillId="0" borderId="0" xfId="0" applyFont="1" applyFill="1" applyBorder="1" applyAlignment="1">
      <alignment vertical="center" wrapText="1"/>
    </xf>
    <xf numFmtId="0" fontId="2" fillId="6" borderId="17" xfId="0" applyFont="1" applyFill="1" applyBorder="1" applyAlignment="1">
      <alignment horizontal="left" vertical="center" wrapText="1"/>
    </xf>
    <xf numFmtId="0" fontId="2" fillId="0" borderId="17" xfId="0" applyFont="1" applyFill="1" applyBorder="1" applyAlignment="1">
      <alignment horizontal="left" vertical="center" wrapText="1"/>
    </xf>
    <xf numFmtId="0" fontId="0" fillId="0" borderId="0" xfId="0" applyFill="1" applyBorder="1" applyAlignment="1">
      <alignment vertical="center" wrapText="1"/>
    </xf>
    <xf numFmtId="0" fontId="14" fillId="10" borderId="0" xfId="0" applyFont="1" applyFill="1" applyBorder="1" applyAlignment="1">
      <alignment horizontal="left" vertical="center"/>
    </xf>
    <xf numFmtId="0" fontId="15" fillId="10" borderId="0" xfId="0" applyFont="1" applyFill="1" applyBorder="1" applyAlignment="1">
      <alignment horizontal="center" vertical="center"/>
    </xf>
    <xf numFmtId="0" fontId="16" fillId="0" borderId="6" xfId="0" applyFont="1" applyFill="1" applyBorder="1" applyAlignment="1">
      <alignment horizontal="center" vertical="center"/>
    </xf>
    <xf numFmtId="0" fontId="17" fillId="0" borderId="0" xfId="0" applyFont="1" applyFill="1" applyBorder="1" applyAlignment="1">
      <alignment horizontal="left" vertical="center"/>
    </xf>
    <xf numFmtId="0" fontId="5" fillId="0" borderId="0" xfId="0" applyFont="1" applyFill="1" applyBorder="1" applyAlignment="1">
      <alignment horizontal="center" vertical="center"/>
    </xf>
    <xf numFmtId="0" fontId="5" fillId="0" borderId="6" xfId="0" applyFont="1" applyFill="1" applyBorder="1" applyAlignment="1">
      <alignment horizontal="center" vertical="center"/>
    </xf>
    <xf numFmtId="0" fontId="18" fillId="0" borderId="6" xfId="0" applyFont="1" applyFill="1" applyBorder="1" applyAlignment="1">
      <alignment horizontal="center" vertical="center"/>
    </xf>
    <xf numFmtId="0" fontId="19" fillId="0" borderId="6" xfId="0" applyFont="1" applyFill="1" applyBorder="1" applyAlignment="1">
      <alignment horizontal="center" vertical="center"/>
    </xf>
    <xf numFmtId="178" fontId="18" fillId="0" borderId="6" xfId="0" applyNumberFormat="1" applyFont="1" applyFill="1" applyBorder="1" applyAlignment="1">
      <alignment horizontal="center" vertical="center"/>
    </xf>
    <xf numFmtId="0" fontId="2" fillId="0" borderId="6" xfId="0" applyFont="1" applyFill="1" applyBorder="1" applyAlignment="1">
      <alignment horizontal="center" vertical="center"/>
    </xf>
    <xf numFmtId="0" fontId="20" fillId="0" borderId="6" xfId="0" applyFont="1" applyFill="1" applyBorder="1" applyAlignment="1">
      <alignment horizontal="center" vertical="center"/>
    </xf>
    <xf numFmtId="178" fontId="2" fillId="0" borderId="6" xfId="0" applyNumberFormat="1" applyFont="1" applyFill="1" applyBorder="1" applyAlignment="1">
      <alignment horizontal="center" vertical="center"/>
    </xf>
    <xf numFmtId="0" fontId="2" fillId="6" borderId="6" xfId="0" applyFont="1" applyFill="1" applyBorder="1" applyAlignment="1">
      <alignment horizontal="center" vertical="center"/>
    </xf>
    <xf numFmtId="0" fontId="18" fillId="6" borderId="6" xfId="0" applyFont="1" applyFill="1" applyBorder="1" applyAlignment="1">
      <alignment horizontal="center" vertical="center"/>
    </xf>
    <xf numFmtId="2" fontId="2" fillId="0" borderId="6" xfId="0" applyNumberFormat="1" applyFont="1" applyFill="1" applyBorder="1" applyAlignment="1">
      <alignment horizontal="center" vertical="center"/>
    </xf>
    <xf numFmtId="0" fontId="20" fillId="0" borderId="6" xfId="0" applyFont="1" applyFill="1" applyBorder="1" applyAlignment="1">
      <alignment horizontal="center" vertical="center"/>
    </xf>
    <xf numFmtId="0" fontId="2" fillId="0" borderId="6" xfId="0" applyFont="1" applyFill="1" applyBorder="1" applyAlignment="1">
      <alignment horizontal="center" vertical="center"/>
    </xf>
    <xf numFmtId="0" fontId="20" fillId="0" borderId="18" xfId="0" applyFont="1" applyFill="1" applyBorder="1" applyAlignment="1">
      <alignment horizontal="center" vertical="center"/>
    </xf>
    <xf numFmtId="0" fontId="2" fillId="0" borderId="18" xfId="0" applyFont="1" applyFill="1" applyBorder="1" applyAlignment="1">
      <alignment horizontal="center" vertical="center"/>
    </xf>
    <xf numFmtId="0" fontId="2" fillId="0" borderId="19" xfId="0" applyFont="1" applyFill="1" applyBorder="1" applyAlignment="1">
      <alignment horizontal="center" vertical="center"/>
    </xf>
    <xf numFmtId="0" fontId="20" fillId="0" borderId="20" xfId="0" applyFont="1" applyFill="1" applyBorder="1" applyAlignment="1">
      <alignment horizontal="center" vertical="center"/>
    </xf>
    <xf numFmtId="0" fontId="2" fillId="0" borderId="20" xfId="0" applyFont="1" applyFill="1" applyBorder="1" applyAlignment="1">
      <alignment horizontal="center" vertical="center"/>
    </xf>
    <xf numFmtId="178" fontId="2" fillId="0" borderId="20" xfId="0" applyNumberFormat="1" applyFont="1" applyFill="1" applyBorder="1" applyAlignment="1">
      <alignment horizontal="center" vertical="center"/>
    </xf>
    <xf numFmtId="0" fontId="2" fillId="0" borderId="21" xfId="0" applyFont="1" applyFill="1" applyBorder="1" applyAlignment="1">
      <alignment horizontal="center" vertical="center"/>
    </xf>
    <xf numFmtId="0" fontId="20" fillId="0" borderId="22" xfId="0" applyFont="1" applyFill="1" applyBorder="1" applyAlignment="1">
      <alignment horizontal="center" vertical="center"/>
    </xf>
    <xf numFmtId="0" fontId="2" fillId="0" borderId="23" xfId="0" applyFont="1" applyFill="1" applyBorder="1" applyAlignment="1">
      <alignment horizontal="center" vertical="center"/>
    </xf>
    <xf numFmtId="179" fontId="2" fillId="0" borderId="23" xfId="0" applyNumberFormat="1" applyFont="1" applyFill="1" applyBorder="1" applyAlignment="1">
      <alignment horizontal="center" vertical="center"/>
    </xf>
    <xf numFmtId="0" fontId="20" fillId="0" borderId="23" xfId="0" applyFont="1" applyFill="1" applyBorder="1" applyAlignment="1">
      <alignment horizontal="center" vertical="center"/>
    </xf>
    <xf numFmtId="179" fontId="2" fillId="0" borderId="20" xfId="0" applyNumberFormat="1" applyFont="1" applyFill="1" applyBorder="1" applyAlignment="1">
      <alignment horizontal="center" vertical="center"/>
    </xf>
    <xf numFmtId="0" fontId="2" fillId="4" borderId="6"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4" xfId="0" applyFont="1" applyFill="1" applyBorder="1" applyAlignment="1">
      <alignment horizontal="center" vertical="center"/>
    </xf>
    <xf numFmtId="0" fontId="21" fillId="0" borderId="6" xfId="0" applyFont="1" applyFill="1" applyBorder="1" applyAlignment="1">
      <alignment horizontal="center" vertical="center"/>
    </xf>
    <xf numFmtId="0" fontId="2" fillId="0" borderId="25" xfId="0" applyFont="1" applyFill="1" applyBorder="1" applyAlignment="1">
      <alignment horizontal="center" vertical="center"/>
    </xf>
    <xf numFmtId="0" fontId="2" fillId="0" borderId="21" xfId="0" applyFont="1" applyFill="1" applyBorder="1" applyAlignment="1">
      <alignment horizontal="center" vertical="center"/>
    </xf>
    <xf numFmtId="0" fontId="2" fillId="0" borderId="6" xfId="0" applyFont="1" applyFill="1" applyBorder="1" applyAlignment="1">
      <alignment horizontal="center" vertical="center" wrapText="1"/>
    </xf>
    <xf numFmtId="2" fontId="2" fillId="0" borderId="18" xfId="0" applyNumberFormat="1" applyFont="1" applyFill="1" applyBorder="1" applyAlignment="1">
      <alignment horizontal="center" vertical="center"/>
    </xf>
    <xf numFmtId="2" fontId="2" fillId="0" borderId="20" xfId="0" applyNumberFormat="1" applyFont="1" applyFill="1" applyBorder="1" applyAlignment="1">
      <alignment horizontal="center" vertical="center"/>
    </xf>
    <xf numFmtId="180" fontId="2" fillId="0" borderId="18" xfId="0" applyNumberFormat="1" applyFont="1" applyFill="1" applyBorder="1" applyAlignment="1">
      <alignment horizontal="center" vertical="center"/>
    </xf>
    <xf numFmtId="0" fontId="2" fillId="0" borderId="5" xfId="0" applyFont="1" applyFill="1" applyBorder="1" applyAlignment="1">
      <alignment horizontal="center" vertical="center"/>
    </xf>
    <xf numFmtId="181" fontId="2" fillId="0" borderId="5" xfId="0" applyNumberFormat="1" applyFont="1" applyFill="1" applyBorder="1" applyAlignment="1">
      <alignment horizontal="center" vertical="center"/>
    </xf>
    <xf numFmtId="0" fontId="2" fillId="0" borderId="26" xfId="0" applyFont="1" applyFill="1" applyBorder="1" applyAlignment="1">
      <alignment horizontal="center" vertical="center"/>
    </xf>
    <xf numFmtId="180" fontId="2" fillId="0" borderId="5" xfId="0" applyNumberFormat="1" applyFont="1" applyFill="1" applyBorder="1" applyAlignment="1">
      <alignment horizontal="center" vertical="center"/>
    </xf>
    <xf numFmtId="0" fontId="2" fillId="0" borderId="27" xfId="0" applyFont="1" applyFill="1" applyBorder="1" applyAlignment="1">
      <alignment horizontal="center" vertical="center"/>
    </xf>
    <xf numFmtId="178" fontId="22" fillId="0" borderId="6" xfId="0" applyNumberFormat="1" applyFont="1" applyFill="1" applyBorder="1" applyAlignment="1">
      <alignment horizontal="center" vertical="center"/>
    </xf>
    <xf numFmtId="0" fontId="23" fillId="0" borderId="0" xfId="0" applyFont="1" applyFill="1" applyBorder="1">
      <alignment vertical="center"/>
    </xf>
    <xf numFmtId="0" fontId="24" fillId="2" borderId="1" xfId="0" applyFont="1" applyFill="1" applyBorder="1">
      <alignment vertical="center"/>
    </xf>
    <xf numFmtId="0" fontId="3" fillId="2" borderId="1" xfId="0" applyFont="1" applyFill="1" applyBorder="1" applyAlignment="1">
      <alignment horizontal="center" vertical="center" wrapText="1"/>
    </xf>
    <xf numFmtId="0" fontId="10" fillId="2" borderId="1" xfId="0" applyFont="1" applyFill="1" applyBorder="1">
      <alignment vertical="center"/>
    </xf>
    <xf numFmtId="0" fontId="3" fillId="2" borderId="1" xfId="0" applyFont="1" applyFill="1" applyBorder="1">
      <alignment vertical="center"/>
    </xf>
    <xf numFmtId="0" fontId="3" fillId="2" borderId="15" xfId="0" applyFont="1" applyFill="1" applyBorder="1">
      <alignment vertical="center"/>
    </xf>
    <xf numFmtId="0" fontId="3" fillId="2" borderId="28" xfId="0" applyFont="1" applyFill="1" applyBorder="1">
      <alignment vertical="center"/>
    </xf>
    <xf numFmtId="0" fontId="3" fillId="2" borderId="29" xfId="0" applyFont="1" applyFill="1" applyBorder="1">
      <alignment vertical="center"/>
    </xf>
    <xf numFmtId="0" fontId="6" fillId="2" borderId="15" xfId="0" applyFont="1" applyFill="1" applyBorder="1">
      <alignment vertical="center"/>
    </xf>
    <xf numFmtId="0" fontId="9" fillId="2" borderId="1" xfId="0" applyFont="1" applyFill="1" applyBorder="1" applyAlignment="1">
      <alignment horizontal="left" vertical="center"/>
    </xf>
    <xf numFmtId="0" fontId="3" fillId="2" borderId="15" xfId="0" applyFont="1" applyFill="1" applyBorder="1" applyAlignment="1">
      <alignment horizontal="center" vertical="center" wrapText="1"/>
    </xf>
    <xf numFmtId="0" fontId="10" fillId="2" borderId="15" xfId="0" applyFont="1" applyFill="1" applyBorder="1">
      <alignment vertical="center"/>
    </xf>
    <xf numFmtId="0" fontId="3" fillId="9" borderId="15" xfId="0" applyFont="1" applyFill="1" applyBorder="1">
      <alignment vertical="center"/>
    </xf>
    <xf numFmtId="0" fontId="6" fillId="9" borderId="15" xfId="0" applyFont="1" applyFill="1" applyBorder="1">
      <alignment vertical="center"/>
    </xf>
    <xf numFmtId="0" fontId="25" fillId="9" borderId="15" xfId="0" applyFont="1" applyFill="1" applyBorder="1">
      <alignment vertical="center"/>
    </xf>
    <xf numFmtId="0" fontId="0" fillId="0" borderId="0" xfId="0" applyFill="1" applyBorder="1" applyAlignment="1">
      <alignment horizontal="center" vertical="center"/>
    </xf>
    <xf numFmtId="0" fontId="1" fillId="2" borderId="1" xfId="0" applyFont="1" applyFill="1" applyBorder="1" applyAlignment="1">
      <alignment horizontal="left" vertical="center"/>
    </xf>
    <xf numFmtId="0" fontId="2" fillId="2" borderId="0"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3" fontId="2" fillId="2" borderId="0" xfId="0" applyNumberFormat="1" applyFont="1" applyFill="1" applyBorder="1" applyAlignment="1">
      <alignment horizontal="center" vertical="center"/>
    </xf>
    <xf numFmtId="3" fontId="3" fillId="2" borderId="1" xfId="0" applyNumberFormat="1" applyFont="1" applyFill="1" applyBorder="1" applyAlignment="1">
      <alignment horizontal="center" vertical="center"/>
    </xf>
    <xf numFmtId="0" fontId="5" fillId="2" borderId="0" xfId="0" applyFont="1" applyFill="1" applyBorder="1" applyAlignment="1">
      <alignment horizontal="left" vertical="center"/>
    </xf>
    <xf numFmtId="0" fontId="24" fillId="2" borderId="1" xfId="0" applyFont="1" applyFill="1" applyBorder="1">
      <alignment vertical="center"/>
    </xf>
    <xf numFmtId="0" fontId="1" fillId="2" borderId="2" xfId="0" applyFont="1" applyFill="1" applyBorder="1" applyAlignment="1">
      <alignment horizontal="center" vertical="center"/>
    </xf>
    <xf numFmtId="0" fontId="1" fillId="2" borderId="2" xfId="0" applyFont="1" applyFill="1" applyBorder="1" applyAlignment="1">
      <alignment horizontal="left" vertical="center"/>
    </xf>
    <xf numFmtId="0" fontId="3"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4" fillId="2" borderId="2" xfId="0" applyFont="1" applyFill="1" applyBorder="1" applyAlignment="1">
      <alignment horizontal="center" vertical="center"/>
    </xf>
    <xf numFmtId="176" fontId="4" fillId="2" borderId="2" xfId="0" applyNumberFormat="1" applyFont="1" applyFill="1" applyBorder="1" applyAlignment="1">
      <alignment horizontal="center" vertical="center"/>
    </xf>
    <xf numFmtId="9" fontId="7" fillId="2" borderId="6" xfId="0" applyNumberFormat="1" applyFont="1" applyFill="1" applyBorder="1" applyAlignment="1">
      <alignment horizontal="center" vertical="center"/>
    </xf>
    <xf numFmtId="9" fontId="4" fillId="2" borderId="2" xfId="0" applyNumberFormat="1" applyFont="1" applyFill="1" applyBorder="1" applyAlignment="1">
      <alignment horizontal="center" vertical="center"/>
    </xf>
    <xf numFmtId="176" fontId="7" fillId="2" borderId="6" xfId="0" applyNumberFormat="1" applyFont="1" applyFill="1" applyBorder="1" applyAlignment="1">
      <alignment horizontal="center" vertical="center"/>
    </xf>
    <xf numFmtId="0" fontId="4" fillId="2" borderId="2" xfId="0" applyFont="1" applyFill="1" applyBorder="1" applyAlignment="1">
      <alignment horizontal="left" vertical="center"/>
    </xf>
    <xf numFmtId="0" fontId="10" fillId="2" borderId="1" xfId="0" applyFont="1" applyFill="1" applyBorder="1">
      <alignment vertical="center"/>
    </xf>
    <xf numFmtId="9" fontId="8" fillId="2" borderId="6" xfId="0" applyNumberFormat="1" applyFont="1" applyFill="1" applyBorder="1" applyAlignment="1">
      <alignment horizontal="center" vertical="center"/>
    </xf>
    <xf numFmtId="0" fontId="3" fillId="2" borderId="2" xfId="0" applyFont="1" applyFill="1" applyBorder="1" applyAlignment="1">
      <alignment horizontal="center" vertical="center"/>
    </xf>
    <xf numFmtId="176" fontId="3" fillId="2" borderId="2"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9" fontId="3" fillId="2" borderId="2" xfId="0" applyNumberFormat="1" applyFont="1" applyFill="1" applyBorder="1" applyAlignment="1">
      <alignment horizontal="center" vertical="center"/>
    </xf>
    <xf numFmtId="9" fontId="2" fillId="2" borderId="6" xfId="0" applyNumberFormat="1" applyFont="1" applyFill="1" applyBorder="1" applyAlignment="1">
      <alignment horizontal="center" vertical="center"/>
    </xf>
    <xf numFmtId="0" fontId="3" fillId="2" borderId="2" xfId="0" applyFont="1" applyFill="1" applyBorder="1" applyAlignment="1">
      <alignment horizontal="left" vertical="center"/>
    </xf>
    <xf numFmtId="0" fontId="3" fillId="2" borderId="1" xfId="0" applyFont="1" applyFill="1" applyBorder="1">
      <alignment vertical="center"/>
    </xf>
    <xf numFmtId="0" fontId="2" fillId="2" borderId="0" xfId="0" applyFont="1" applyFill="1" applyBorder="1">
      <alignment vertical="center"/>
    </xf>
    <xf numFmtId="0" fontId="3" fillId="2" borderId="6" xfId="0" applyFont="1" applyFill="1" applyBorder="1" applyAlignment="1">
      <alignment horizontal="left" vertical="center"/>
    </xf>
    <xf numFmtId="0" fontId="3" fillId="2" borderId="15" xfId="0" applyFont="1" applyFill="1" applyBorder="1">
      <alignment vertical="center"/>
    </xf>
    <xf numFmtId="0" fontId="3" fillId="2" borderId="28" xfId="0" applyFont="1" applyFill="1" applyBorder="1">
      <alignment vertical="center"/>
    </xf>
    <xf numFmtId="0" fontId="3" fillId="2" borderId="29" xfId="0" applyFont="1" applyFill="1" applyBorder="1">
      <alignment vertical="center"/>
    </xf>
    <xf numFmtId="176" fontId="2" fillId="2" borderId="0" xfId="0" applyNumberFormat="1" applyFont="1" applyFill="1" applyBorder="1">
      <alignment vertical="center"/>
    </xf>
    <xf numFmtId="176" fontId="3" fillId="2" borderId="14" xfId="0" applyNumberFormat="1" applyFont="1" applyFill="1" applyBorder="1">
      <alignment vertical="center"/>
    </xf>
    <xf numFmtId="176" fontId="3" fillId="2" borderId="15" xfId="0" applyNumberFormat="1" applyFont="1" applyFill="1" applyBorder="1">
      <alignment vertical="center"/>
    </xf>
    <xf numFmtId="0" fontId="9" fillId="2" borderId="1" xfId="0" applyFont="1" applyFill="1" applyBorder="1" applyAlignment="1">
      <alignment horizontal="left" vertical="center"/>
    </xf>
    <xf numFmtId="0" fontId="3" fillId="2" borderId="16" xfId="0" applyFont="1" applyFill="1" applyBorder="1" applyAlignment="1">
      <alignment horizontal="center" vertical="center"/>
    </xf>
    <xf numFmtId="9" fontId="2" fillId="2" borderId="17" xfId="0" applyNumberFormat="1" applyFont="1" applyFill="1" applyBorder="1" applyAlignment="1">
      <alignment horizontal="center" vertical="center"/>
    </xf>
    <xf numFmtId="9" fontId="3" fillId="2" borderId="16" xfId="0" applyNumberFormat="1" applyFont="1" applyFill="1" applyBorder="1" applyAlignment="1">
      <alignment horizontal="center" vertical="center"/>
    </xf>
    <xf numFmtId="0" fontId="2" fillId="2" borderId="17" xfId="0" applyFont="1" applyFill="1" applyBorder="1" applyAlignment="1">
      <alignment horizontal="center" vertical="center"/>
    </xf>
    <xf numFmtId="0" fontId="3" fillId="2" borderId="16" xfId="0" applyFont="1" applyFill="1" applyBorder="1" applyAlignment="1">
      <alignment horizontal="left" vertical="center"/>
    </xf>
    <xf numFmtId="0" fontId="3" fillId="7" borderId="1" xfId="0" applyFont="1" applyFill="1" applyBorder="1" applyAlignment="1">
      <alignment horizontal="center" vertical="center"/>
    </xf>
    <xf numFmtId="0" fontId="3" fillId="2" borderId="1" xfId="0" applyFont="1" applyFill="1" applyBorder="1" applyAlignment="1">
      <alignment horizontal="left" vertical="center"/>
    </xf>
    <xf numFmtId="0" fontId="6" fillId="2" borderId="15" xfId="0" applyFont="1" applyFill="1" applyBorder="1">
      <alignment vertical="center"/>
    </xf>
    <xf numFmtId="0" fontId="3" fillId="2" borderId="29" xfId="0" applyFont="1" applyFill="1" applyBorder="1" applyAlignment="1">
      <alignment horizontal="center" vertical="center"/>
    </xf>
    <xf numFmtId="176" fontId="3" fillId="3" borderId="6" xfId="0" applyNumberFormat="1" applyFont="1" applyFill="1" applyBorder="1" applyAlignment="1">
      <alignment horizontal="center" vertical="center"/>
    </xf>
    <xf numFmtId="176" fontId="3" fillId="2" borderId="29" xfId="0" applyNumberFormat="1" applyFont="1" applyFill="1" applyBorder="1">
      <alignment vertical="center"/>
    </xf>
    <xf numFmtId="3" fontId="3" fillId="2" borderId="29" xfId="0" applyNumberFormat="1" applyFont="1" applyFill="1" applyBorder="1" applyAlignment="1">
      <alignment horizontal="center" vertical="center"/>
    </xf>
    <xf numFmtId="9" fontId="4" fillId="2" borderId="6" xfId="0" applyNumberFormat="1" applyFont="1" applyFill="1" applyBorder="1" applyAlignment="1">
      <alignment horizontal="center" vertical="center"/>
    </xf>
    <xf numFmtId="9" fontId="3" fillId="2" borderId="6" xfId="0" applyNumberFormat="1" applyFont="1" applyFill="1" applyBorder="1" applyAlignment="1">
      <alignment horizontal="center" vertical="center"/>
    </xf>
    <xf numFmtId="9" fontId="3" fillId="2" borderId="27" xfId="0" applyNumberFormat="1" applyFont="1" applyFill="1" applyBorder="1" applyAlignment="1">
      <alignment horizontal="center" vertical="center"/>
    </xf>
    <xf numFmtId="9" fontId="3" fillId="7" borderId="6" xfId="0" applyNumberFormat="1" applyFont="1" applyFill="1" applyBorder="1" applyAlignment="1">
      <alignment horizontal="center" vertical="center"/>
    </xf>
    <xf numFmtId="9" fontId="3" fillId="2" borderId="17" xfId="0" applyNumberFormat="1" applyFont="1" applyFill="1" applyBorder="1" applyAlignment="1">
      <alignment horizontal="center" vertical="center"/>
    </xf>
    <xf numFmtId="0" fontId="1" fillId="11" borderId="2" xfId="0" applyFont="1" applyFill="1" applyBorder="1" applyAlignment="1">
      <alignment horizontal="center" vertical="center" wrapText="1"/>
    </xf>
    <xf numFmtId="0" fontId="5" fillId="11" borderId="6" xfId="0" applyFont="1" applyFill="1" applyBorder="1" applyAlignment="1">
      <alignment horizontal="center" vertical="center" wrapText="1"/>
    </xf>
    <xf numFmtId="176" fontId="3" fillId="7" borderId="6" xfId="0" applyNumberFormat="1" applyFont="1" applyFill="1" applyBorder="1" applyAlignment="1">
      <alignment horizontal="center" vertical="center"/>
    </xf>
    <xf numFmtId="176" fontId="3" fillId="5" borderId="6" xfId="0" applyNumberFormat="1" applyFont="1" applyFill="1" applyBorder="1" applyAlignment="1">
      <alignment horizontal="center" vertical="center"/>
    </xf>
    <xf numFmtId="0" fontId="3" fillId="7" borderId="6" xfId="0" applyFont="1" applyFill="1" applyBorder="1" applyAlignment="1">
      <alignment horizontal="left" vertical="center"/>
    </xf>
    <xf numFmtId="0" fontId="2" fillId="7" borderId="6" xfId="0" applyFont="1" applyFill="1" applyBorder="1" applyAlignment="1">
      <alignment horizontal="center" vertical="center"/>
    </xf>
    <xf numFmtId="0" fontId="1" fillId="5" borderId="6" xfId="0" applyFont="1" applyFill="1" applyBorder="1" applyAlignment="1">
      <alignment horizontal="center" vertical="center" wrapText="1"/>
    </xf>
    <xf numFmtId="176" fontId="4" fillId="5" borderId="6" xfId="0" applyNumberFormat="1" applyFont="1" applyFill="1" applyBorder="1" applyAlignment="1">
      <alignment horizontal="center" vertical="center"/>
    </xf>
    <xf numFmtId="176" fontId="3" fillId="5" borderId="17" xfId="0" applyNumberFormat="1" applyFont="1" applyFill="1" applyBorder="1" applyAlignment="1">
      <alignment horizontal="center" vertical="center"/>
    </xf>
    <xf numFmtId="0" fontId="3" fillId="7" borderId="29" xfId="0" applyFont="1" applyFill="1" applyBorder="1" applyAlignment="1">
      <alignment horizontal="center" vertical="center"/>
    </xf>
    <xf numFmtId="0" fontId="3" fillId="7" borderId="29" xfId="0" applyFont="1" applyFill="1" applyBorder="1">
      <alignment vertical="center"/>
    </xf>
    <xf numFmtId="176" fontId="28" fillId="5" borderId="6" xfId="0" applyNumberFormat="1" applyFont="1" applyFill="1" applyBorder="1" applyAlignment="1">
      <alignment horizontal="center" vertical="center"/>
    </xf>
    <xf numFmtId="176" fontId="10" fillId="2" borderId="1" xfId="0" applyNumberFormat="1" applyFont="1" applyFill="1" applyBorder="1">
      <alignment vertical="center"/>
    </xf>
    <xf numFmtId="0" fontId="2" fillId="2" borderId="1"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28" fillId="0" borderId="6" xfId="0" applyFont="1" applyFill="1" applyBorder="1" applyAlignment="1">
      <alignment horizontal="center" vertical="center"/>
    </xf>
    <xf numFmtId="0" fontId="29" fillId="0" borderId="6" xfId="0" applyFont="1" applyFill="1" applyBorder="1" applyAlignment="1">
      <alignment horizontal="center" vertical="center"/>
    </xf>
    <xf numFmtId="0" fontId="28" fillId="0" borderId="5" xfId="0" applyFont="1" applyFill="1" applyBorder="1" applyAlignment="1">
      <alignment horizontal="center" vertical="center"/>
    </xf>
    <xf numFmtId="180" fontId="28" fillId="0" borderId="5" xfId="0" applyNumberFormat="1" applyFont="1" applyFill="1" applyBorder="1" applyAlignment="1">
      <alignment horizontal="center" vertical="center"/>
    </xf>
    <xf numFmtId="0" fontId="28" fillId="0" borderId="27" xfId="0" applyFont="1" applyFill="1" applyBorder="1" applyAlignment="1">
      <alignment horizontal="center" vertical="center"/>
    </xf>
    <xf numFmtId="0" fontId="15" fillId="0" borderId="6" xfId="0" applyFont="1" applyFill="1" applyBorder="1" applyAlignment="1">
      <alignment horizontal="center" vertical="center"/>
    </xf>
    <xf numFmtId="0" fontId="16" fillId="0" borderId="6" xfId="0" applyFont="1" applyFill="1" applyBorder="1">
      <alignment vertical="center"/>
    </xf>
    <xf numFmtId="14" fontId="16" fillId="0" borderId="6" xfId="0" applyNumberFormat="1" applyFont="1" applyFill="1" applyBorder="1" applyAlignment="1">
      <alignment horizontal="center" vertical="center"/>
    </xf>
    <xf numFmtId="177" fontId="16" fillId="0" borderId="6" xfId="0" applyNumberFormat="1" applyFont="1" applyFill="1" applyBorder="1" applyAlignment="1">
      <alignment horizontal="center" vertical="center"/>
    </xf>
    <xf numFmtId="0" fontId="1" fillId="0" borderId="6" xfId="0" applyFont="1" applyFill="1" applyBorder="1" applyAlignment="1">
      <alignment horizontal="center" vertical="center"/>
    </xf>
    <xf numFmtId="0" fontId="2" fillId="0" borderId="6" xfId="0" applyFont="1" applyFill="1" applyBorder="1">
      <alignment vertical="center"/>
    </xf>
    <xf numFmtId="14" fontId="2" fillId="0" borderId="6" xfId="0" applyNumberFormat="1" applyFont="1" applyFill="1" applyBorder="1" applyAlignment="1">
      <alignment horizontal="center" vertical="center"/>
    </xf>
    <xf numFmtId="0" fontId="15" fillId="12" borderId="6" xfId="0" applyFont="1" applyFill="1" applyBorder="1" applyAlignment="1">
      <alignment horizontal="center" vertical="center"/>
    </xf>
    <xf numFmtId="0" fontId="16" fillId="12" borderId="6" xfId="0" applyFont="1" applyFill="1" applyBorder="1">
      <alignment vertical="center"/>
    </xf>
    <xf numFmtId="14" fontId="16" fillId="12" borderId="6" xfId="0" applyNumberFormat="1" applyFont="1" applyFill="1" applyBorder="1" applyAlignment="1">
      <alignment horizontal="center" vertical="center"/>
    </xf>
    <xf numFmtId="0" fontId="16" fillId="12" borderId="6" xfId="0" applyFont="1" applyFill="1" applyBorder="1" applyAlignment="1">
      <alignment horizontal="center" vertical="center"/>
    </xf>
    <xf numFmtId="0" fontId="1" fillId="12" borderId="6" xfId="0" applyFont="1" applyFill="1" applyBorder="1" applyAlignment="1">
      <alignment horizontal="center" vertical="center"/>
    </xf>
    <xf numFmtId="14" fontId="2" fillId="12" borderId="6" xfId="0" applyNumberFormat="1" applyFont="1" applyFill="1" applyBorder="1" applyAlignment="1">
      <alignment horizontal="center" vertical="center"/>
    </xf>
    <xf numFmtId="14" fontId="16" fillId="0" borderId="18" xfId="0" applyNumberFormat="1" applyFont="1" applyFill="1" applyBorder="1" applyAlignment="1">
      <alignment horizontal="center" vertical="center"/>
    </xf>
    <xf numFmtId="176" fontId="28" fillId="6" borderId="2" xfId="0" applyNumberFormat="1" applyFont="1" applyFill="1" applyBorder="1" applyAlignment="1">
      <alignment horizontal="center" vertical="center"/>
    </xf>
    <xf numFmtId="176" fontId="2" fillId="5" borderId="2" xfId="0" applyNumberFormat="1" applyFont="1" applyFill="1" applyBorder="1" applyAlignment="1">
      <alignment horizontal="center" vertical="center"/>
    </xf>
    <xf numFmtId="9" fontId="3" fillId="13" borderId="2" xfId="0" applyNumberFormat="1" applyFont="1" applyFill="1" applyBorder="1" applyAlignment="1">
      <alignment horizontal="center" vertical="center"/>
    </xf>
    <xf numFmtId="176" fontId="3" fillId="13" borderId="2" xfId="0" applyNumberFormat="1" applyFont="1" applyFill="1" applyBorder="1" applyAlignment="1">
      <alignment horizontal="center" vertical="center"/>
    </xf>
    <xf numFmtId="0" fontId="2" fillId="2" borderId="2" xfId="0" applyFont="1" applyFill="1" applyBorder="1" applyAlignment="1">
      <alignment horizontal="left" vertical="center"/>
    </xf>
    <xf numFmtId="9" fontId="2" fillId="0" borderId="17" xfId="0" applyNumberFormat="1" applyFont="1" applyFill="1" applyBorder="1" applyAlignment="1">
      <alignment horizontal="center" vertical="center"/>
    </xf>
    <xf numFmtId="0" fontId="2" fillId="0" borderId="17" xfId="0" applyFont="1" applyFill="1" applyBorder="1" applyAlignment="1">
      <alignment horizontal="center" vertical="center"/>
    </xf>
    <xf numFmtId="0" fontId="1" fillId="0" borderId="17"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1" fillId="0" borderId="17" xfId="0" applyFont="1" applyFill="1" applyBorder="1" applyAlignment="1">
      <alignment horizontal="center" vertical="center"/>
    </xf>
    <xf numFmtId="176" fontId="1" fillId="0" borderId="17" xfId="0" applyNumberFormat="1" applyFont="1" applyFill="1" applyBorder="1" applyAlignment="1">
      <alignment horizontal="center" vertical="center"/>
    </xf>
    <xf numFmtId="176" fontId="1" fillId="5" borderId="17" xfId="0" applyNumberFormat="1" applyFont="1" applyFill="1" applyBorder="1" applyAlignment="1">
      <alignment horizontal="center" vertical="center"/>
    </xf>
    <xf numFmtId="9" fontId="1" fillId="0" borderId="17" xfId="0" applyNumberFormat="1" applyFont="1" applyFill="1" applyBorder="1" applyAlignment="1">
      <alignment horizontal="center" vertical="center"/>
    </xf>
    <xf numFmtId="0" fontId="33" fillId="0" borderId="17" xfId="0" applyFont="1" applyBorder="1">
      <alignment vertical="center"/>
    </xf>
    <xf numFmtId="0" fontId="32" fillId="0" borderId="0" xfId="0" applyFont="1">
      <alignment vertical="center"/>
    </xf>
    <xf numFmtId="176" fontId="28" fillId="0" borderId="17" xfId="0" applyNumberFormat="1" applyFont="1" applyFill="1" applyBorder="1" applyAlignment="1">
      <alignment horizontal="center" vertical="center"/>
    </xf>
    <xf numFmtId="176" fontId="22" fillId="5" borderId="17" xfId="0" applyNumberFormat="1" applyFont="1" applyFill="1" applyBorder="1" applyAlignment="1">
      <alignment horizontal="center" vertical="center"/>
    </xf>
    <xf numFmtId="176" fontId="22" fillId="0" borderId="17" xfId="0" applyNumberFormat="1" applyFont="1" applyFill="1" applyBorder="1" applyAlignment="1">
      <alignment horizontal="center" vertical="center"/>
    </xf>
    <xf numFmtId="0" fontId="1"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4" xfId="0" applyFill="1" applyBorder="1">
      <alignment vertical="center"/>
    </xf>
    <xf numFmtId="0" fontId="0" fillId="0" borderId="5" xfId="0" applyFill="1" applyBorder="1">
      <alignment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xf numFmtId="0" fontId="0" fillId="11" borderId="26" xfId="0" applyFill="1" applyBorder="1" applyAlignment="1">
      <alignment horizontal="center" vertical="center"/>
    </xf>
    <xf numFmtId="0" fontId="1" fillId="2" borderId="4" xfId="0" applyFont="1" applyFill="1" applyBorder="1" applyAlignment="1">
      <alignment horizontal="center" vertical="center"/>
    </xf>
    <xf numFmtId="0" fontId="1" fillId="2" borderId="26" xfId="0" applyFont="1" applyFill="1" applyBorder="1" applyAlignment="1">
      <alignment horizontal="center" vertical="center"/>
    </xf>
    <xf numFmtId="0" fontId="33" fillId="0" borderId="17" xfId="0" applyFont="1" applyBorder="1" applyAlignment="1">
      <alignment horizontal="center" vertical="center"/>
    </xf>
    <xf numFmtId="0" fontId="33" fillId="0" borderId="30" xfId="0" applyFont="1" applyBorder="1" applyAlignment="1">
      <alignment horizontal="center" vertical="center"/>
    </xf>
    <xf numFmtId="0" fontId="33" fillId="0" borderId="31" xfId="0" applyFont="1" applyBorder="1" applyAlignment="1">
      <alignment horizontal="center" vertical="center"/>
    </xf>
    <xf numFmtId="0" fontId="1" fillId="2" borderId="2" xfId="0" applyFont="1" applyFill="1" applyBorder="1" applyAlignment="1">
      <alignment horizontal="center" vertical="center"/>
    </xf>
    <xf numFmtId="0" fontId="5" fillId="2" borderId="6" xfId="0" applyFont="1" applyFill="1" applyBorder="1" applyAlignment="1">
      <alignment horizontal="center" vertical="center"/>
    </xf>
    <xf numFmtId="0" fontId="1" fillId="6" borderId="6" xfId="0" applyFont="1" applyFill="1" applyBorder="1" applyAlignment="1">
      <alignment horizontal="center" vertical="center" wrapText="1"/>
    </xf>
    <xf numFmtId="0" fontId="0" fillId="0" borderId="6" xfId="0" applyFill="1" applyBorder="1">
      <alignment vertical="center"/>
    </xf>
    <xf numFmtId="0" fontId="1" fillId="8" borderId="6" xfId="0" applyFont="1" applyFill="1" applyBorder="1" applyAlignment="1">
      <alignment horizontal="center" vertical="center"/>
    </xf>
    <xf numFmtId="0" fontId="1" fillId="2" borderId="6" xfId="0" applyFont="1" applyFill="1" applyBorder="1" applyAlignment="1">
      <alignment horizontal="center" vertical="center"/>
    </xf>
    <xf numFmtId="0" fontId="5" fillId="6" borderId="6" xfId="0" applyFont="1" applyFill="1" applyBorder="1" applyAlignment="1">
      <alignment horizontal="center" vertical="center"/>
    </xf>
    <xf numFmtId="0" fontId="5" fillId="0" borderId="6" xfId="0" applyFont="1" applyFill="1" applyBorder="1" applyAlignment="1">
      <alignment horizontal="center" vertical="center"/>
    </xf>
    <xf numFmtId="0" fontId="20" fillId="0" borderId="6"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1EF9F-5F16-4F51-90A4-083D8FAFDA05}">
  <sheetPr>
    <tabColor rgb="FFC00000"/>
    <pageSetUpPr fitToPage="1"/>
  </sheetPr>
  <dimension ref="A1:AI203"/>
  <sheetViews>
    <sheetView tabSelected="1" zoomScale="110" zoomScaleNormal="110" workbookViewId="0">
      <pane xSplit="1" ySplit="5" topLeftCell="M6" activePane="bottomRight" state="frozen"/>
      <selection activeCell="B5" sqref="B5:C16"/>
      <selection pane="topRight" activeCell="B5" sqref="B5:C16"/>
      <selection pane="bottomLeft" activeCell="B5" sqref="B5:C16"/>
      <selection pane="bottomRight" activeCell="Q29" sqref="Q29"/>
    </sheetView>
  </sheetViews>
  <sheetFormatPr defaultRowHeight="18" customHeight="1" outlineLevelRow="1" outlineLevelCol="1" x14ac:dyDescent="0.25"/>
  <cols>
    <col min="1" max="1" width="12.77734375" style="208" customWidth="1"/>
    <col min="2" max="3" width="9.33203125" style="211" customWidth="1" outlineLevel="1"/>
    <col min="4" max="5" width="9.33203125" style="208" customWidth="1" outlineLevel="1"/>
    <col min="6" max="8" width="9.33203125" style="208" customWidth="1"/>
    <col min="9" max="9" width="8.21875" style="213" customWidth="1" outlineLevel="1"/>
    <col min="10" max="10" width="9.33203125" style="213" customWidth="1" outlineLevel="1"/>
    <col min="11" max="11" width="7.88671875" style="211" customWidth="1"/>
    <col min="12" max="12" width="7.88671875" style="208" customWidth="1"/>
    <col min="13" max="13" width="7.88671875" style="213" customWidth="1" outlineLevel="1"/>
    <col min="14" max="14" width="9.33203125" style="213" customWidth="1" outlineLevel="1"/>
    <col min="15" max="16" width="7.88671875" style="213" customWidth="1" outlineLevel="1"/>
    <col min="17" max="17" width="9.33203125" style="208" customWidth="1"/>
    <col min="18" max="18" width="10.33203125" style="208" customWidth="1"/>
    <col min="19" max="19" width="9.109375" style="211" customWidth="1"/>
    <col min="20" max="21" width="8.77734375" style="208" customWidth="1"/>
    <col min="22" max="22" width="10.109375" style="211" customWidth="1"/>
    <col min="23" max="23" width="8" style="208" customWidth="1"/>
    <col min="24" max="24" width="9.33203125" style="208" bestFit="1" customWidth="1"/>
    <col min="25" max="25" width="9.33203125" style="213" hidden="1" customWidth="1" outlineLevel="1"/>
    <col min="26" max="26" width="8.5546875" style="213" hidden="1" customWidth="1" outlineLevel="1"/>
    <col min="27" max="27" width="8.5546875" style="213" customWidth="1" collapsed="1"/>
    <col min="28" max="28" width="7.6640625" style="208" customWidth="1"/>
    <col min="29" max="29" width="8" style="225" customWidth="1" outlineLevel="1"/>
    <col min="30" max="30" width="32.44140625" style="217" customWidth="1" outlineLevel="1" collapsed="1"/>
    <col min="31" max="35" width="8.88671875" style="188"/>
  </cols>
  <sheetData>
    <row r="1" spans="1:35" s="188" customFormat="1" ht="18" customHeight="1" x14ac:dyDescent="0.25">
      <c r="A1" s="181"/>
      <c r="B1" s="182"/>
      <c r="C1" s="182"/>
      <c r="D1" s="183"/>
      <c r="E1" s="183"/>
      <c r="F1" s="184"/>
      <c r="G1" s="183"/>
      <c r="H1" s="183"/>
      <c r="I1" s="226"/>
      <c r="J1" s="226"/>
      <c r="K1" s="185"/>
      <c r="L1" s="186"/>
      <c r="M1" s="229"/>
      <c r="N1" s="229"/>
      <c r="O1" s="229"/>
      <c r="P1" s="229"/>
      <c r="Q1" s="183"/>
      <c r="R1" s="186"/>
      <c r="S1" s="185"/>
      <c r="T1" s="186"/>
      <c r="U1" s="183"/>
      <c r="V1" s="182"/>
      <c r="W1" s="183"/>
      <c r="X1" s="183"/>
      <c r="Y1" s="226"/>
      <c r="Z1" s="226"/>
      <c r="AA1" s="226"/>
      <c r="AB1" s="183"/>
      <c r="AC1" s="187"/>
      <c r="AD1" s="181"/>
    </row>
    <row r="2" spans="1:35" s="191" customFormat="1" ht="18" customHeight="1" x14ac:dyDescent="0.25">
      <c r="A2" s="189" t="s">
        <v>0</v>
      </c>
      <c r="B2" s="287" t="s">
        <v>1</v>
      </c>
      <c r="C2" s="288"/>
      <c r="D2" s="287" t="s">
        <v>2</v>
      </c>
      <c r="E2" s="288"/>
      <c r="F2" s="289" t="s">
        <v>3</v>
      </c>
      <c r="G2" s="290"/>
      <c r="H2" s="290"/>
      <c r="I2" s="290"/>
      <c r="J2" s="290"/>
      <c r="K2" s="290"/>
      <c r="L2" s="291"/>
      <c r="M2" s="292" t="s">
        <v>296</v>
      </c>
      <c r="N2" s="293"/>
      <c r="O2" s="293"/>
      <c r="P2" s="294"/>
      <c r="Q2" s="289" t="s">
        <v>4</v>
      </c>
      <c r="R2" s="295"/>
      <c r="S2" s="295"/>
      <c r="T2" s="295"/>
      <c r="U2" s="295"/>
      <c r="V2" s="295"/>
      <c r="W2" s="295"/>
      <c r="X2" s="295"/>
      <c r="Y2" s="295"/>
      <c r="Z2" s="295"/>
      <c r="AA2" s="295"/>
      <c r="AB2" s="295"/>
      <c r="AC2" s="296"/>
      <c r="AD2" s="190"/>
    </row>
    <row r="3" spans="1:35" s="191" customFormat="1" ht="29.25" customHeight="1" x14ac:dyDescent="0.25">
      <c r="A3" s="192" t="s">
        <v>5</v>
      </c>
      <c r="B3" s="13" t="s">
        <v>6</v>
      </c>
      <c r="C3" s="13" t="s">
        <v>7</v>
      </c>
      <c r="D3" s="13" t="s">
        <v>6</v>
      </c>
      <c r="E3" s="13" t="s">
        <v>7</v>
      </c>
      <c r="F3" s="14" t="s">
        <v>8</v>
      </c>
      <c r="G3" s="14" t="s">
        <v>9</v>
      </c>
      <c r="H3" s="15" t="s">
        <v>10</v>
      </c>
      <c r="I3" s="241" t="s">
        <v>277</v>
      </c>
      <c r="J3" s="241" t="s">
        <v>278</v>
      </c>
      <c r="K3" s="193" t="s">
        <v>11</v>
      </c>
      <c r="L3" s="192" t="s">
        <v>12</v>
      </c>
      <c r="M3" s="235" t="s">
        <v>273</v>
      </c>
      <c r="N3" s="235" t="s">
        <v>274</v>
      </c>
      <c r="O3" s="236" t="s">
        <v>11</v>
      </c>
      <c r="P3" s="235" t="s">
        <v>12</v>
      </c>
      <c r="Q3" s="14" t="s">
        <v>13</v>
      </c>
      <c r="R3" s="14" t="s">
        <v>14</v>
      </c>
      <c r="S3" s="17" t="s">
        <v>15</v>
      </c>
      <c r="T3" s="14" t="s">
        <v>16</v>
      </c>
      <c r="U3" s="14" t="s">
        <v>17</v>
      </c>
      <c r="V3" s="249" t="s">
        <v>282</v>
      </c>
      <c r="W3" s="14" t="s">
        <v>19</v>
      </c>
      <c r="X3" s="15" t="s">
        <v>20</v>
      </c>
      <c r="Y3" s="241" t="s">
        <v>280</v>
      </c>
      <c r="Z3" s="241" t="s">
        <v>278</v>
      </c>
      <c r="AA3" s="192" t="s">
        <v>285</v>
      </c>
      <c r="AB3" s="192" t="s">
        <v>284</v>
      </c>
      <c r="AC3" s="193" t="s">
        <v>21</v>
      </c>
      <c r="AD3" s="18" t="s">
        <v>22</v>
      </c>
      <c r="AE3" s="248" t="s">
        <v>281</v>
      </c>
    </row>
    <row r="4" spans="1:35" s="200" customFormat="1" ht="15" customHeight="1" x14ac:dyDescent="0.25">
      <c r="A4" s="194" t="s">
        <v>23</v>
      </c>
      <c r="B4" s="20">
        <f t="shared" ref="B4:H4" si="0">B5+B30</f>
        <v>52500</v>
      </c>
      <c r="C4" s="20">
        <f t="shared" si="0"/>
        <v>58000</v>
      </c>
      <c r="D4" s="20">
        <f t="shared" si="0"/>
        <v>64000</v>
      </c>
      <c r="E4" s="20">
        <f t="shared" si="0"/>
        <v>72700</v>
      </c>
      <c r="F4" s="195">
        <f t="shared" si="0"/>
        <v>14980.334799999999</v>
      </c>
      <c r="G4" s="195">
        <f t="shared" si="0"/>
        <v>19042.274900000004</v>
      </c>
      <c r="H4" s="22">
        <f t="shared" si="0"/>
        <v>34022.609700000001</v>
      </c>
      <c r="I4" s="242">
        <v>42010.788499999995</v>
      </c>
      <c r="J4" s="242">
        <f>H4-I4</f>
        <v>-7988.1787999999942</v>
      </c>
      <c r="K4" s="196">
        <f t="shared" ref="K4:K16" si="1">H4/B4</f>
        <v>0.64804970857142863</v>
      </c>
      <c r="L4" s="197">
        <f t="shared" ref="L4:L25" si="2">IFERROR(H4/D4,"/")</f>
        <v>0.53160327656250006</v>
      </c>
      <c r="M4" s="195">
        <f>M5+M30</f>
        <v>19412.683100000006</v>
      </c>
      <c r="N4" s="195">
        <f>N5+N30</f>
        <v>34393.017899999999</v>
      </c>
      <c r="O4" s="230">
        <f t="shared" ref="O4:O16" si="3">N4/B4</f>
        <v>0.65510510285714285</v>
      </c>
      <c r="P4" s="230">
        <f t="shared" ref="P4:P16" si="4">N4/D4</f>
        <v>0.53739090468749995</v>
      </c>
      <c r="Q4" s="195">
        <f t="shared" ref="Q4:X4" si="5">Q5+Q30</f>
        <v>13451.0515</v>
      </c>
      <c r="R4" s="195">
        <f t="shared" si="5"/>
        <v>45068</v>
      </c>
      <c r="S4" s="198">
        <f t="shared" si="5"/>
        <v>11083</v>
      </c>
      <c r="T4" s="195">
        <f t="shared" si="5"/>
        <v>1801</v>
      </c>
      <c r="U4" s="195">
        <f t="shared" si="5"/>
        <v>11754.896699999999</v>
      </c>
      <c r="V4" s="198">
        <f t="shared" si="5"/>
        <v>13063</v>
      </c>
      <c r="W4" s="195">
        <f t="shared" si="5"/>
        <v>11710.70162</v>
      </c>
      <c r="X4" s="22">
        <f t="shared" si="5"/>
        <v>51780.649819999991</v>
      </c>
      <c r="Y4" s="242">
        <v>51995.849699999999</v>
      </c>
      <c r="Z4" s="242">
        <f>X4-Y4</f>
        <v>-215.1998800000074</v>
      </c>
      <c r="AA4" s="197">
        <f>X4/C4</f>
        <v>0.89276982448275843</v>
      </c>
      <c r="AB4" s="197">
        <f t="shared" ref="AB4:AB25" si="6">IFERROR(X4/E4,"/")</f>
        <v>0.71225102916093519</v>
      </c>
      <c r="AC4" s="196">
        <f t="shared" ref="AC4:AC13" si="7">(T4+U4)/(R4-S4)</f>
        <v>0.39887882006767689</v>
      </c>
      <c r="AD4" s="199"/>
      <c r="AE4" s="247">
        <f>R4-S4-T4-U4-V4</f>
        <v>7366.1033000000025</v>
      </c>
    </row>
    <row r="5" spans="1:35" s="200" customFormat="1" ht="15" customHeight="1" x14ac:dyDescent="0.25">
      <c r="A5" s="194" t="s">
        <v>24</v>
      </c>
      <c r="B5" s="20">
        <f>SUM(B6:B28)</f>
        <v>52500</v>
      </c>
      <c r="C5" s="20">
        <f t="shared" ref="C5:H5" si="8">SUM(C6:C28)</f>
        <v>58000</v>
      </c>
      <c r="D5" s="20">
        <f t="shared" si="8"/>
        <v>60000</v>
      </c>
      <c r="E5" s="20">
        <f t="shared" si="8"/>
        <v>68700</v>
      </c>
      <c r="F5" s="195">
        <f t="shared" si="8"/>
        <v>13787.777299999998</v>
      </c>
      <c r="G5" s="195">
        <f t="shared" si="8"/>
        <v>16234.832400000003</v>
      </c>
      <c r="H5" s="22">
        <f t="shared" si="8"/>
        <v>30022.609699999997</v>
      </c>
      <c r="I5" s="242">
        <v>36460.788499999995</v>
      </c>
      <c r="J5" s="242">
        <f t="shared" ref="J5:J28" si="9">H5-I5</f>
        <v>-6438.1787999999979</v>
      </c>
      <c r="K5" s="201">
        <f t="shared" si="1"/>
        <v>0.57185923238095238</v>
      </c>
      <c r="L5" s="197">
        <f t="shared" si="2"/>
        <v>0.5003768283333333</v>
      </c>
      <c r="M5" s="195">
        <f>SUM(M6:M28)</f>
        <v>16605.240600000005</v>
      </c>
      <c r="N5" s="195">
        <f t="shared" ref="N5" si="10">SUM(N6:N28)</f>
        <v>30393.017899999999</v>
      </c>
      <c r="O5" s="230">
        <f t="shared" si="3"/>
        <v>0.5789146266666666</v>
      </c>
      <c r="P5" s="230">
        <f t="shared" si="4"/>
        <v>0.50655029833333332</v>
      </c>
      <c r="Q5" s="195">
        <f t="shared" ref="Q5:X5" si="11">SUM(Q6:Q28)</f>
        <v>11228.948199999999</v>
      </c>
      <c r="R5" s="195">
        <f t="shared" si="11"/>
        <v>38055</v>
      </c>
      <c r="S5" s="198">
        <f t="shared" si="11"/>
        <v>11083</v>
      </c>
      <c r="T5" s="195">
        <f t="shared" si="11"/>
        <v>1801</v>
      </c>
      <c r="U5" s="195">
        <f t="shared" si="11"/>
        <v>7977</v>
      </c>
      <c r="V5" s="198">
        <f t="shared" si="11"/>
        <v>13063</v>
      </c>
      <c r="W5" s="195">
        <f t="shared" si="11"/>
        <v>11710.70162</v>
      </c>
      <c r="X5" s="22">
        <f t="shared" si="11"/>
        <v>45780.649819999991</v>
      </c>
      <c r="Y5" s="242">
        <v>45995.849699999999</v>
      </c>
      <c r="Z5" s="242">
        <f t="shared" ref="Z5:Z30" si="12">X5-Y5</f>
        <v>-215.1998800000074</v>
      </c>
      <c r="AA5" s="197">
        <f t="shared" ref="AA5:AA25" si="13">X5/C5</f>
        <v>0.78932154862068948</v>
      </c>
      <c r="AB5" s="197">
        <f t="shared" si="6"/>
        <v>0.66638500465793293</v>
      </c>
      <c r="AC5" s="196">
        <f t="shared" si="7"/>
        <v>0.36252409906569777</v>
      </c>
      <c r="AD5" s="199"/>
      <c r="AE5" s="247">
        <f>R5-S5-T5-U5-V5</f>
        <v>4131</v>
      </c>
    </row>
    <row r="6" spans="1:35" s="208" customFormat="1" ht="15" customHeight="1" x14ac:dyDescent="0.25">
      <c r="A6" s="202" t="s">
        <v>25</v>
      </c>
      <c r="B6" s="29">
        <v>18000</v>
      </c>
      <c r="C6" s="29">
        <v>21500</v>
      </c>
      <c r="D6" s="30">
        <v>20100</v>
      </c>
      <c r="E6" s="30">
        <v>27000</v>
      </c>
      <c r="F6" s="203">
        <v>2554.1152999999999</v>
      </c>
      <c r="G6" s="204">
        <f>H6-F6</f>
        <v>3450.8847000000001</v>
      </c>
      <c r="H6" s="270">
        <v>6005</v>
      </c>
      <c r="I6" s="246">
        <v>10800.7454</v>
      </c>
      <c r="J6" s="246">
        <f t="shared" si="9"/>
        <v>-4795.7453999999998</v>
      </c>
      <c r="K6" s="201">
        <f t="shared" si="1"/>
        <v>0.33361111111111114</v>
      </c>
      <c r="L6" s="205">
        <f t="shared" si="2"/>
        <v>0.29875621890547266</v>
      </c>
      <c r="M6" s="203">
        <f>G6</f>
        <v>3450.8847000000001</v>
      </c>
      <c r="N6" s="203">
        <f>M6+F6</f>
        <v>6005</v>
      </c>
      <c r="O6" s="231">
        <f t="shared" si="3"/>
        <v>0.33361111111111114</v>
      </c>
      <c r="P6" s="231">
        <f t="shared" si="4"/>
        <v>0.29875621890547266</v>
      </c>
      <c r="Q6" s="35">
        <v>2441.2186999999999</v>
      </c>
      <c r="R6" s="36">
        <v>23514</v>
      </c>
      <c r="S6" s="37">
        <v>7267</v>
      </c>
      <c r="T6" s="35">
        <v>1124</v>
      </c>
      <c r="U6" s="35">
        <f>3554-59</f>
        <v>3495</v>
      </c>
      <c r="V6" s="37">
        <v>8300</v>
      </c>
      <c r="W6" s="35">
        <f>G6*0.6</f>
        <v>2070.5308199999999</v>
      </c>
      <c r="X6" s="33">
        <f t="shared" ref="X6:X28" si="14">Q6+T6+U6+W6+V6</f>
        <v>17430.749519999998</v>
      </c>
      <c r="Y6" s="238">
        <v>18436.5933</v>
      </c>
      <c r="Z6" s="238">
        <f t="shared" si="12"/>
        <v>-1005.8437800000029</v>
      </c>
      <c r="AA6" s="205">
        <f t="shared" si="13"/>
        <v>0.81073253581395333</v>
      </c>
      <c r="AB6" s="205">
        <f t="shared" si="6"/>
        <v>0.64558331555555548</v>
      </c>
      <c r="AC6" s="206">
        <f t="shared" si="7"/>
        <v>0.2842986397488767</v>
      </c>
      <c r="AD6" s="207"/>
      <c r="AE6" s="247">
        <f t="shared" ref="AE6:AE28" si="15">R6-S6-T6-U6-V6</f>
        <v>3328</v>
      </c>
    </row>
    <row r="7" spans="1:35" s="208" customFormat="1" ht="15" customHeight="1" x14ac:dyDescent="0.25">
      <c r="A7" s="202" t="s">
        <v>26</v>
      </c>
      <c r="B7" s="29">
        <v>2140</v>
      </c>
      <c r="C7" s="29">
        <v>2600</v>
      </c>
      <c r="D7" s="30">
        <v>1400</v>
      </c>
      <c r="E7" s="30">
        <v>2800</v>
      </c>
      <c r="F7" s="203">
        <v>944.60540000000015</v>
      </c>
      <c r="G7" s="204">
        <v>1350</v>
      </c>
      <c r="H7" s="270">
        <f>F7+G7</f>
        <v>2294.6054000000004</v>
      </c>
      <c r="I7" s="246">
        <v>2314.6156999999998</v>
      </c>
      <c r="J7" s="246">
        <f t="shared" si="9"/>
        <v>-20.010299999999461</v>
      </c>
      <c r="K7" s="201">
        <f t="shared" si="1"/>
        <v>1.0722455140186917</v>
      </c>
      <c r="L7" s="205">
        <f t="shared" si="2"/>
        <v>1.6390038571428573</v>
      </c>
      <c r="M7" s="203">
        <f t="shared" ref="M7:M9" si="16">G7</f>
        <v>1350</v>
      </c>
      <c r="N7" s="203">
        <f t="shared" ref="N7:N25" si="17">M7+F7</f>
        <v>2294.6054000000004</v>
      </c>
      <c r="O7" s="232">
        <f t="shared" si="3"/>
        <v>1.0722455140186917</v>
      </c>
      <c r="P7" s="232">
        <f t="shared" si="4"/>
        <v>1.6390038571428573</v>
      </c>
      <c r="Q7" s="40">
        <v>1909</v>
      </c>
      <c r="R7" s="41">
        <v>478</v>
      </c>
      <c r="S7" s="37">
        <v>0</v>
      </c>
      <c r="T7" s="35">
        <v>0</v>
      </c>
      <c r="U7" s="35">
        <v>0</v>
      </c>
      <c r="V7" s="37">
        <v>0</v>
      </c>
      <c r="W7" s="269">
        <v>395</v>
      </c>
      <c r="X7" s="33">
        <f t="shared" si="14"/>
        <v>2304</v>
      </c>
      <c r="Y7" s="238">
        <v>1938.7657999999999</v>
      </c>
      <c r="Z7" s="238">
        <f t="shared" si="12"/>
        <v>365.2342000000001</v>
      </c>
      <c r="AA7" s="205">
        <f t="shared" si="13"/>
        <v>0.88615384615384618</v>
      </c>
      <c r="AB7" s="205">
        <f t="shared" si="6"/>
        <v>0.82285714285714284</v>
      </c>
      <c r="AC7" s="206">
        <f t="shared" si="7"/>
        <v>0</v>
      </c>
      <c r="AD7" s="207" t="s">
        <v>27</v>
      </c>
      <c r="AE7" s="247">
        <f t="shared" si="15"/>
        <v>478</v>
      </c>
    </row>
    <row r="8" spans="1:35" s="208" customFormat="1" ht="15" customHeight="1" x14ac:dyDescent="0.25">
      <c r="A8" s="202" t="s">
        <v>28</v>
      </c>
      <c r="B8" s="29">
        <v>9500</v>
      </c>
      <c r="C8" s="29">
        <v>10400</v>
      </c>
      <c r="D8" s="30">
        <v>11500</v>
      </c>
      <c r="E8" s="30">
        <v>12210</v>
      </c>
      <c r="F8" s="203">
        <v>3602.6583999999998</v>
      </c>
      <c r="G8" s="203">
        <f t="shared" ref="G8:G25" si="18">H8-F8</f>
        <v>2130.3416000000002</v>
      </c>
      <c r="H8" s="33">
        <v>5733</v>
      </c>
      <c r="I8" s="238">
        <v>4945.893</v>
      </c>
      <c r="J8" s="238">
        <f t="shared" si="9"/>
        <v>787.10699999999997</v>
      </c>
      <c r="K8" s="201">
        <f t="shared" si="1"/>
        <v>0.60347368421052627</v>
      </c>
      <c r="L8" s="205">
        <f t="shared" si="2"/>
        <v>0.49852173913043479</v>
      </c>
      <c r="M8" s="203">
        <f t="shared" si="16"/>
        <v>2130.3416000000002</v>
      </c>
      <c r="N8" s="203">
        <f t="shared" si="17"/>
        <v>5733</v>
      </c>
      <c r="O8" s="232">
        <f t="shared" si="3"/>
        <v>0.60347368421052627</v>
      </c>
      <c r="P8" s="232">
        <f t="shared" si="4"/>
        <v>0.49852173913043479</v>
      </c>
      <c r="Q8" s="40">
        <v>2094</v>
      </c>
      <c r="R8" s="41">
        <v>6128</v>
      </c>
      <c r="S8" s="37">
        <v>1410</v>
      </c>
      <c r="T8" s="35">
        <v>0</v>
      </c>
      <c r="U8" s="35">
        <v>1994</v>
      </c>
      <c r="V8" s="37">
        <v>2418</v>
      </c>
      <c r="W8" s="35">
        <f>G8*0.5</f>
        <v>1065.1708000000001</v>
      </c>
      <c r="X8" s="33">
        <f t="shared" si="14"/>
        <v>7571.1707999999999</v>
      </c>
      <c r="Y8" s="238">
        <v>6279.8384000000005</v>
      </c>
      <c r="Z8" s="238">
        <f t="shared" si="12"/>
        <v>1291.3323999999993</v>
      </c>
      <c r="AA8" s="205">
        <f t="shared" si="13"/>
        <v>0.72799719230769233</v>
      </c>
      <c r="AB8" s="205">
        <f t="shared" si="6"/>
        <v>0.62007950859950856</v>
      </c>
      <c r="AC8" s="206">
        <f t="shared" si="7"/>
        <v>0.42263671047053836</v>
      </c>
      <c r="AD8" s="207" t="s">
        <v>29</v>
      </c>
      <c r="AE8" s="247">
        <f t="shared" si="15"/>
        <v>306</v>
      </c>
    </row>
    <row r="9" spans="1:35" s="208" customFormat="1" ht="15" customHeight="1" x14ac:dyDescent="0.25">
      <c r="A9" s="202" t="s">
        <v>30</v>
      </c>
      <c r="B9" s="29">
        <v>700</v>
      </c>
      <c r="C9" s="29">
        <v>3880</v>
      </c>
      <c r="D9" s="30">
        <v>170</v>
      </c>
      <c r="E9" s="30">
        <v>610</v>
      </c>
      <c r="F9" s="203">
        <v>494.20429999999999</v>
      </c>
      <c r="G9" s="203">
        <f t="shared" si="18"/>
        <v>0</v>
      </c>
      <c r="H9" s="33">
        <v>494.20429999999999</v>
      </c>
      <c r="I9" s="238">
        <v>492.16419999999999</v>
      </c>
      <c r="J9" s="238">
        <f t="shared" si="9"/>
        <v>2.0400999999999954</v>
      </c>
      <c r="K9" s="201">
        <f t="shared" si="1"/>
        <v>0.7060061428571428</v>
      </c>
      <c r="L9" s="205">
        <f t="shared" si="2"/>
        <v>2.9070841176470585</v>
      </c>
      <c r="M9" s="203">
        <f t="shared" si="16"/>
        <v>0</v>
      </c>
      <c r="N9" s="203">
        <f t="shared" si="17"/>
        <v>494.20429999999999</v>
      </c>
      <c r="O9" s="232">
        <f t="shared" si="3"/>
        <v>0.7060061428571428</v>
      </c>
      <c r="P9" s="232">
        <f t="shared" si="4"/>
        <v>2.9070841176470585</v>
      </c>
      <c r="Q9" s="40">
        <v>1014</v>
      </c>
      <c r="R9" s="41">
        <v>226</v>
      </c>
      <c r="S9" s="37"/>
      <c r="T9" s="35"/>
      <c r="U9" s="35">
        <v>226</v>
      </c>
      <c r="V9" s="37"/>
      <c r="W9" s="35"/>
      <c r="X9" s="33">
        <f t="shared" si="14"/>
        <v>1240</v>
      </c>
      <c r="Y9" s="238">
        <v>1238.2638999999999</v>
      </c>
      <c r="Z9" s="238">
        <f t="shared" si="12"/>
        <v>1.7361000000000786</v>
      </c>
      <c r="AA9" s="205">
        <f t="shared" si="13"/>
        <v>0.31958762886597936</v>
      </c>
      <c r="AB9" s="205">
        <f t="shared" si="6"/>
        <v>2.0327868852459017</v>
      </c>
      <c r="AC9" s="206">
        <f t="shared" si="7"/>
        <v>1</v>
      </c>
      <c r="AD9" s="207"/>
      <c r="AE9" s="247">
        <f t="shared" si="15"/>
        <v>0</v>
      </c>
    </row>
    <row r="10" spans="1:35" s="208" customFormat="1" ht="15" customHeight="1" x14ac:dyDescent="0.25">
      <c r="A10" s="202" t="s">
        <v>31</v>
      </c>
      <c r="B10" s="29">
        <v>11000</v>
      </c>
      <c r="C10" s="29">
        <v>9360</v>
      </c>
      <c r="D10" s="30">
        <v>11570</v>
      </c>
      <c r="E10" s="30">
        <v>10900</v>
      </c>
      <c r="F10" s="203">
        <v>3214.7897000000003</v>
      </c>
      <c r="G10" s="42">
        <f t="shared" si="18"/>
        <v>1859.2102999999997</v>
      </c>
      <c r="H10" s="33">
        <f>5074</f>
        <v>5074</v>
      </c>
      <c r="I10" s="238">
        <v>6026.5807999999997</v>
      </c>
      <c r="J10" s="238">
        <f t="shared" si="9"/>
        <v>-952.58079999999973</v>
      </c>
      <c r="K10" s="201">
        <f t="shared" si="1"/>
        <v>0.46127272727272728</v>
      </c>
      <c r="L10" s="205">
        <f t="shared" si="2"/>
        <v>0.43854796888504755</v>
      </c>
      <c r="M10" s="203">
        <f>G10+150</f>
        <v>2009.2102999999997</v>
      </c>
      <c r="N10" s="203">
        <f t="shared" si="17"/>
        <v>5224</v>
      </c>
      <c r="O10" s="232">
        <f t="shared" si="3"/>
        <v>0.47490909090909089</v>
      </c>
      <c r="P10" s="232">
        <f t="shared" si="4"/>
        <v>0.45151253241140882</v>
      </c>
      <c r="Q10" s="43">
        <v>2092.5192999999999</v>
      </c>
      <c r="R10" s="44">
        <v>3469</v>
      </c>
      <c r="S10" s="45">
        <v>1304</v>
      </c>
      <c r="T10" s="46">
        <v>193</v>
      </c>
      <c r="U10" s="47">
        <f>1064-36</f>
        <v>1028</v>
      </c>
      <c r="V10" s="45">
        <v>927</v>
      </c>
      <c r="W10" s="46">
        <v>1200</v>
      </c>
      <c r="X10" s="33">
        <f t="shared" si="14"/>
        <v>5440.5192999999999</v>
      </c>
      <c r="Y10" s="238">
        <v>5553.0923000000003</v>
      </c>
      <c r="Z10" s="238">
        <f t="shared" si="12"/>
        <v>-112.57300000000032</v>
      </c>
      <c r="AA10" s="271">
        <f t="shared" si="13"/>
        <v>0.58125206196581192</v>
      </c>
      <c r="AB10" s="205">
        <f t="shared" si="6"/>
        <v>0.49913021100917432</v>
      </c>
      <c r="AC10" s="206">
        <f t="shared" si="7"/>
        <v>0.56397228637413399</v>
      </c>
      <c r="AD10" s="207"/>
      <c r="AE10" s="247">
        <f t="shared" si="15"/>
        <v>17</v>
      </c>
      <c r="AF10" s="209"/>
      <c r="AG10" s="209"/>
      <c r="AH10" s="209"/>
      <c r="AI10" s="209"/>
    </row>
    <row r="11" spans="1:35" s="208" customFormat="1" ht="15" customHeight="1" x14ac:dyDescent="0.25">
      <c r="A11" s="202" t="s">
        <v>32</v>
      </c>
      <c r="B11" s="29">
        <v>2850</v>
      </c>
      <c r="C11" s="29">
        <v>2800</v>
      </c>
      <c r="D11" s="30">
        <v>3000</v>
      </c>
      <c r="E11" s="30">
        <v>3000</v>
      </c>
      <c r="F11" s="203">
        <v>890.75859999999989</v>
      </c>
      <c r="G11" s="203">
        <f t="shared" si="18"/>
        <v>335.24140000000011</v>
      </c>
      <c r="H11" s="33">
        <v>1226</v>
      </c>
      <c r="I11" s="238">
        <v>1984.8816999999999</v>
      </c>
      <c r="J11" s="238">
        <f t="shared" si="9"/>
        <v>-758.88169999999991</v>
      </c>
      <c r="K11" s="201">
        <f t="shared" si="1"/>
        <v>0.43017543859649121</v>
      </c>
      <c r="L11" s="205">
        <f t="shared" si="2"/>
        <v>0.40866666666666668</v>
      </c>
      <c r="M11" s="203">
        <v>455</v>
      </c>
      <c r="N11" s="203">
        <f t="shared" si="17"/>
        <v>1345.7585999999999</v>
      </c>
      <c r="O11" s="232">
        <f t="shared" si="3"/>
        <v>0.47219599999999995</v>
      </c>
      <c r="P11" s="232">
        <f t="shared" si="4"/>
        <v>0.44858619999999993</v>
      </c>
      <c r="Q11" s="40">
        <v>330</v>
      </c>
      <c r="R11" s="41">
        <v>1296</v>
      </c>
      <c r="S11" s="37">
        <v>129</v>
      </c>
      <c r="T11" s="35">
        <v>133</v>
      </c>
      <c r="U11" s="272">
        <f>1032-V11</f>
        <v>427</v>
      </c>
      <c r="V11" s="37">
        <v>605</v>
      </c>
      <c r="W11" s="35">
        <v>260</v>
      </c>
      <c r="X11" s="33">
        <f>Q11+T11+U11+W11+V11</f>
        <v>1755</v>
      </c>
      <c r="Y11" s="238">
        <v>2302.8080999999997</v>
      </c>
      <c r="Z11" s="238">
        <f t="shared" si="12"/>
        <v>-547.80809999999974</v>
      </c>
      <c r="AA11" s="205">
        <f t="shared" si="13"/>
        <v>0.62678571428571428</v>
      </c>
      <c r="AB11" s="205">
        <f t="shared" si="6"/>
        <v>0.58499999999999996</v>
      </c>
      <c r="AC11" s="206">
        <f t="shared" si="7"/>
        <v>0.47986289631533846</v>
      </c>
      <c r="AD11" s="273" t="s">
        <v>297</v>
      </c>
      <c r="AE11" s="247">
        <f t="shared" si="15"/>
        <v>2</v>
      </c>
    </row>
    <row r="12" spans="1:35" s="208" customFormat="1" ht="15" customHeight="1" x14ac:dyDescent="0.25">
      <c r="A12" s="202" t="s">
        <v>34</v>
      </c>
      <c r="B12" s="29">
        <v>2250</v>
      </c>
      <c r="C12" s="29">
        <v>2450</v>
      </c>
      <c r="D12" s="30">
        <v>2500</v>
      </c>
      <c r="E12" s="30">
        <v>2620</v>
      </c>
      <c r="F12" s="203">
        <v>1220.6496</v>
      </c>
      <c r="G12" s="203">
        <f t="shared" si="18"/>
        <v>799.35040000000004</v>
      </c>
      <c r="H12" s="33">
        <v>2020</v>
      </c>
      <c r="I12" s="238">
        <v>2043.518</v>
      </c>
      <c r="J12" s="238">
        <f t="shared" si="9"/>
        <v>-23.518000000000029</v>
      </c>
      <c r="K12" s="201">
        <f t="shared" si="1"/>
        <v>0.89777777777777779</v>
      </c>
      <c r="L12" s="205">
        <f t="shared" si="2"/>
        <v>0.80800000000000005</v>
      </c>
      <c r="M12" s="203">
        <f>15*60</f>
        <v>900</v>
      </c>
      <c r="N12" s="203">
        <f t="shared" si="17"/>
        <v>2120.6495999999997</v>
      </c>
      <c r="O12" s="232">
        <f t="shared" si="3"/>
        <v>0.94251093333333325</v>
      </c>
      <c r="P12" s="232">
        <f t="shared" si="4"/>
        <v>0.84825983999999988</v>
      </c>
      <c r="Q12" s="40">
        <v>676</v>
      </c>
      <c r="R12" s="41">
        <v>1132</v>
      </c>
      <c r="S12" s="37">
        <v>0</v>
      </c>
      <c r="T12" s="35">
        <v>0</v>
      </c>
      <c r="U12" s="35">
        <f>1132-V12</f>
        <v>319</v>
      </c>
      <c r="V12" s="37">
        <v>813</v>
      </c>
      <c r="W12" s="35">
        <v>650</v>
      </c>
      <c r="X12" s="33">
        <f t="shared" si="14"/>
        <v>2458</v>
      </c>
      <c r="Y12" s="238">
        <v>2049.2861000000003</v>
      </c>
      <c r="Z12" s="238">
        <f t="shared" si="12"/>
        <v>408.71389999999974</v>
      </c>
      <c r="AA12" s="205">
        <f t="shared" si="13"/>
        <v>1.003265306122449</v>
      </c>
      <c r="AB12" s="205">
        <f t="shared" si="6"/>
        <v>0.93816793893129768</v>
      </c>
      <c r="AC12" s="206">
        <f t="shared" si="7"/>
        <v>0.28180212014134276</v>
      </c>
      <c r="AD12" s="207" t="s">
        <v>35</v>
      </c>
      <c r="AE12" s="247">
        <f t="shared" si="15"/>
        <v>0</v>
      </c>
    </row>
    <row r="13" spans="1:35" s="208" customFormat="1" ht="15" customHeight="1" x14ac:dyDescent="0.25">
      <c r="A13" s="202" t="s">
        <v>36</v>
      </c>
      <c r="B13" s="29">
        <v>2250</v>
      </c>
      <c r="C13" s="29">
        <v>2300</v>
      </c>
      <c r="D13" s="30">
        <v>2500</v>
      </c>
      <c r="E13" s="30">
        <v>2300</v>
      </c>
      <c r="F13" s="203">
        <v>478.46460000000002</v>
      </c>
      <c r="G13" s="203">
        <f t="shared" si="18"/>
        <v>556.53539999999998</v>
      </c>
      <c r="H13" s="33">
        <v>1035</v>
      </c>
      <c r="I13" s="238">
        <v>1200.3896999999999</v>
      </c>
      <c r="J13" s="238">
        <f t="shared" si="9"/>
        <v>-165.38969999999995</v>
      </c>
      <c r="K13" s="201">
        <f t="shared" si="1"/>
        <v>0.46</v>
      </c>
      <c r="L13" s="205">
        <f t="shared" si="2"/>
        <v>0.41399999999999998</v>
      </c>
      <c r="M13" s="203">
        <f>G13</f>
        <v>556.53539999999998</v>
      </c>
      <c r="N13" s="203">
        <f t="shared" si="17"/>
        <v>1035</v>
      </c>
      <c r="O13" s="232">
        <f t="shared" si="3"/>
        <v>0.46</v>
      </c>
      <c r="P13" s="232">
        <f t="shared" si="4"/>
        <v>0.41399999999999998</v>
      </c>
      <c r="Q13" s="40">
        <v>545</v>
      </c>
      <c r="R13" s="41">
        <v>231</v>
      </c>
      <c r="S13" s="37">
        <v>66</v>
      </c>
      <c r="T13" s="35">
        <v>68</v>
      </c>
      <c r="U13" s="35">
        <v>97</v>
      </c>
      <c r="V13" s="37"/>
      <c r="W13" s="35">
        <v>340</v>
      </c>
      <c r="X13" s="33">
        <f t="shared" si="14"/>
        <v>1050</v>
      </c>
      <c r="Y13" s="238">
        <v>1202.0445999999999</v>
      </c>
      <c r="Z13" s="238">
        <f t="shared" si="12"/>
        <v>-152.04459999999995</v>
      </c>
      <c r="AA13" s="205">
        <f t="shared" si="13"/>
        <v>0.45652173913043476</v>
      </c>
      <c r="AB13" s="205">
        <f t="shared" si="6"/>
        <v>0.45652173913043476</v>
      </c>
      <c r="AC13" s="206">
        <f t="shared" si="7"/>
        <v>1</v>
      </c>
      <c r="AD13" s="207"/>
      <c r="AE13" s="247">
        <f t="shared" si="15"/>
        <v>0</v>
      </c>
    </row>
    <row r="14" spans="1:35" s="208" customFormat="1" ht="15" customHeight="1" x14ac:dyDescent="0.25">
      <c r="A14" s="202" t="s">
        <v>37</v>
      </c>
      <c r="B14" s="29">
        <v>400</v>
      </c>
      <c r="C14" s="29">
        <v>400</v>
      </c>
      <c r="D14" s="30">
        <v>400</v>
      </c>
      <c r="E14" s="30">
        <v>400</v>
      </c>
      <c r="F14" s="203">
        <v>0</v>
      </c>
      <c r="G14" s="203">
        <f t="shared" si="18"/>
        <v>400</v>
      </c>
      <c r="H14" s="33">
        <v>400</v>
      </c>
      <c r="I14" s="238">
        <v>400</v>
      </c>
      <c r="J14" s="238">
        <f t="shared" si="9"/>
        <v>0</v>
      </c>
      <c r="K14" s="201">
        <f t="shared" si="1"/>
        <v>1</v>
      </c>
      <c r="L14" s="205">
        <f t="shared" si="2"/>
        <v>1</v>
      </c>
      <c r="M14" s="203">
        <f>G14</f>
        <v>400</v>
      </c>
      <c r="N14" s="203">
        <f t="shared" si="17"/>
        <v>400</v>
      </c>
      <c r="O14" s="232">
        <f t="shared" si="3"/>
        <v>1</v>
      </c>
      <c r="P14" s="232">
        <f t="shared" si="4"/>
        <v>1</v>
      </c>
      <c r="Q14" s="40">
        <v>0</v>
      </c>
      <c r="R14" s="41">
        <v>0</v>
      </c>
      <c r="S14" s="37">
        <v>0</v>
      </c>
      <c r="T14" s="35">
        <v>0</v>
      </c>
      <c r="U14" s="35">
        <v>0</v>
      </c>
      <c r="V14" s="37">
        <v>0</v>
      </c>
      <c r="W14" s="35">
        <v>400</v>
      </c>
      <c r="X14" s="33">
        <f t="shared" si="14"/>
        <v>400</v>
      </c>
      <c r="Y14" s="238">
        <v>400</v>
      </c>
      <c r="Z14" s="238">
        <f t="shared" si="12"/>
        <v>0</v>
      </c>
      <c r="AA14" s="205">
        <f t="shared" si="13"/>
        <v>1</v>
      </c>
      <c r="AB14" s="205">
        <f t="shared" si="6"/>
        <v>1</v>
      </c>
      <c r="AC14" s="206"/>
      <c r="AD14" s="207"/>
      <c r="AE14" s="247">
        <f t="shared" si="15"/>
        <v>0</v>
      </c>
    </row>
    <row r="15" spans="1:35" s="208" customFormat="1" ht="15" customHeight="1" x14ac:dyDescent="0.25">
      <c r="A15" s="202" t="s">
        <v>38</v>
      </c>
      <c r="B15" s="29">
        <v>150</v>
      </c>
      <c r="C15" s="29">
        <v>150</v>
      </c>
      <c r="D15" s="30">
        <v>6000</v>
      </c>
      <c r="E15" s="30">
        <v>6000</v>
      </c>
      <c r="F15" s="203">
        <v>0</v>
      </c>
      <c r="G15" s="203">
        <f t="shared" si="18"/>
        <v>143</v>
      </c>
      <c r="H15" s="33">
        <v>143</v>
      </c>
      <c r="I15" s="238">
        <v>150</v>
      </c>
      <c r="J15" s="238">
        <f t="shared" si="9"/>
        <v>-7</v>
      </c>
      <c r="K15" s="201">
        <f t="shared" si="1"/>
        <v>0.95333333333333337</v>
      </c>
      <c r="L15" s="205">
        <f t="shared" si="2"/>
        <v>2.3833333333333335E-2</v>
      </c>
      <c r="M15" s="203">
        <f t="shared" ref="M15:M25" si="19">G15</f>
        <v>143</v>
      </c>
      <c r="N15" s="203">
        <f t="shared" si="17"/>
        <v>143</v>
      </c>
      <c r="O15" s="232">
        <f t="shared" si="3"/>
        <v>0.95333333333333337</v>
      </c>
      <c r="P15" s="232">
        <f t="shared" si="4"/>
        <v>2.3833333333333335E-2</v>
      </c>
      <c r="Q15" s="40">
        <v>0</v>
      </c>
      <c r="R15" s="41">
        <v>599</v>
      </c>
      <c r="S15" s="37">
        <v>599</v>
      </c>
      <c r="T15" s="35">
        <v>0</v>
      </c>
      <c r="U15" s="35">
        <v>0</v>
      </c>
      <c r="V15" s="37">
        <v>0</v>
      </c>
      <c r="W15" s="35">
        <v>143</v>
      </c>
      <c r="X15" s="33">
        <f t="shared" si="14"/>
        <v>143</v>
      </c>
      <c r="Y15" s="238">
        <v>150</v>
      </c>
      <c r="Z15" s="238">
        <f t="shared" si="12"/>
        <v>-7</v>
      </c>
      <c r="AA15" s="205">
        <f t="shared" si="13"/>
        <v>0.95333333333333337</v>
      </c>
      <c r="AB15" s="205">
        <f t="shared" si="6"/>
        <v>2.3833333333333335E-2</v>
      </c>
      <c r="AC15" s="206"/>
      <c r="AD15" s="49"/>
      <c r="AE15" s="247">
        <f t="shared" si="15"/>
        <v>0</v>
      </c>
    </row>
    <row r="16" spans="1:35" s="208" customFormat="1" ht="15" customHeight="1" x14ac:dyDescent="0.25">
      <c r="A16" s="202" t="s">
        <v>39</v>
      </c>
      <c r="B16" s="29">
        <v>110</v>
      </c>
      <c r="C16" s="29">
        <v>110</v>
      </c>
      <c r="D16" s="30">
        <v>110</v>
      </c>
      <c r="E16" s="30">
        <v>110</v>
      </c>
      <c r="F16" s="203">
        <v>0</v>
      </c>
      <c r="G16" s="203">
        <f t="shared" si="18"/>
        <v>110</v>
      </c>
      <c r="H16" s="33">
        <v>110</v>
      </c>
      <c r="I16" s="238">
        <v>110</v>
      </c>
      <c r="J16" s="238">
        <f t="shared" si="9"/>
        <v>0</v>
      </c>
      <c r="K16" s="201">
        <f t="shared" si="1"/>
        <v>1</v>
      </c>
      <c r="L16" s="205">
        <f t="shared" si="2"/>
        <v>1</v>
      </c>
      <c r="M16" s="203">
        <f t="shared" si="19"/>
        <v>110</v>
      </c>
      <c r="N16" s="203">
        <f t="shared" si="17"/>
        <v>110</v>
      </c>
      <c r="O16" s="232">
        <f t="shared" si="3"/>
        <v>1</v>
      </c>
      <c r="P16" s="232">
        <f t="shared" si="4"/>
        <v>1</v>
      </c>
      <c r="Q16" s="40"/>
      <c r="R16" s="41"/>
      <c r="S16" s="37"/>
      <c r="T16" s="35"/>
      <c r="U16" s="35"/>
      <c r="V16" s="37"/>
      <c r="W16" s="35">
        <v>110</v>
      </c>
      <c r="X16" s="33">
        <f t="shared" si="14"/>
        <v>110</v>
      </c>
      <c r="Y16" s="238">
        <v>110</v>
      </c>
      <c r="Z16" s="238">
        <f t="shared" si="12"/>
        <v>0</v>
      </c>
      <c r="AA16" s="205">
        <f t="shared" si="13"/>
        <v>1</v>
      </c>
      <c r="AB16" s="205">
        <f t="shared" si="6"/>
        <v>1</v>
      </c>
      <c r="AC16" s="50"/>
      <c r="AD16" s="49"/>
      <c r="AE16" s="247">
        <f t="shared" si="15"/>
        <v>0</v>
      </c>
    </row>
    <row r="17" spans="1:31" s="208" customFormat="1" ht="15" customHeight="1" outlineLevel="1" collapsed="1" x14ac:dyDescent="0.25">
      <c r="A17" s="202" t="s">
        <v>40</v>
      </c>
      <c r="B17" s="29">
        <v>0</v>
      </c>
      <c r="C17" s="29">
        <v>0</v>
      </c>
      <c r="D17" s="30"/>
      <c r="E17" s="30"/>
      <c r="F17" s="203">
        <v>0</v>
      </c>
      <c r="G17" s="203">
        <f t="shared" si="18"/>
        <v>0</v>
      </c>
      <c r="H17" s="33">
        <v>0</v>
      </c>
      <c r="I17" s="238">
        <v>0</v>
      </c>
      <c r="J17" s="238">
        <f t="shared" si="9"/>
        <v>0</v>
      </c>
      <c r="K17" s="201"/>
      <c r="L17" s="205" t="str">
        <f t="shared" si="2"/>
        <v>/</v>
      </c>
      <c r="M17" s="203">
        <f t="shared" si="19"/>
        <v>0</v>
      </c>
      <c r="N17" s="203">
        <f t="shared" si="17"/>
        <v>0</v>
      </c>
      <c r="O17" s="231"/>
      <c r="P17" s="231"/>
      <c r="Q17" s="35"/>
      <c r="R17" s="35"/>
      <c r="S17" s="37"/>
      <c r="T17" s="35"/>
      <c r="U17" s="35"/>
      <c r="V17" s="37"/>
      <c r="W17" s="35"/>
      <c r="X17" s="33">
        <f t="shared" si="14"/>
        <v>0</v>
      </c>
      <c r="Y17" s="238">
        <v>0</v>
      </c>
      <c r="Z17" s="238">
        <f t="shared" si="12"/>
        <v>0</v>
      </c>
      <c r="AA17" s="205"/>
      <c r="AB17" s="205" t="str">
        <f t="shared" si="6"/>
        <v>/</v>
      </c>
      <c r="AC17" s="50"/>
      <c r="AD17" s="49"/>
      <c r="AE17" s="247">
        <f t="shared" si="15"/>
        <v>0</v>
      </c>
    </row>
    <row r="18" spans="1:31" s="208" customFormat="1" ht="15" customHeight="1" outlineLevel="1" x14ac:dyDescent="0.25">
      <c r="A18" s="202" t="s">
        <v>42</v>
      </c>
      <c r="B18" s="29">
        <v>0</v>
      </c>
      <c r="C18" s="29">
        <v>0</v>
      </c>
      <c r="D18" s="30"/>
      <c r="E18" s="30"/>
      <c r="F18" s="203">
        <v>38.799999999999997</v>
      </c>
      <c r="G18" s="203">
        <f t="shared" si="18"/>
        <v>0</v>
      </c>
      <c r="H18" s="33">
        <v>38.799999999999997</v>
      </c>
      <c r="I18" s="238">
        <v>0</v>
      </c>
      <c r="J18" s="238">
        <f t="shared" si="9"/>
        <v>38.799999999999997</v>
      </c>
      <c r="K18" s="201"/>
      <c r="L18" s="205" t="str">
        <f t="shared" si="2"/>
        <v>/</v>
      </c>
      <c r="M18" s="203">
        <f t="shared" si="19"/>
        <v>0</v>
      </c>
      <c r="N18" s="203">
        <f t="shared" si="17"/>
        <v>38.799999999999997</v>
      </c>
      <c r="O18" s="231"/>
      <c r="P18" s="231"/>
      <c r="Q18" s="35"/>
      <c r="R18" s="35">
        <v>285</v>
      </c>
      <c r="S18" s="37">
        <v>285</v>
      </c>
      <c r="T18" s="35"/>
      <c r="U18" s="35"/>
      <c r="V18" s="37"/>
      <c r="W18" s="35"/>
      <c r="X18" s="33">
        <f t="shared" si="14"/>
        <v>0</v>
      </c>
      <c r="Y18" s="238">
        <v>0</v>
      </c>
      <c r="Z18" s="238">
        <f t="shared" si="12"/>
        <v>0</v>
      </c>
      <c r="AA18" s="205"/>
      <c r="AB18" s="205" t="str">
        <f t="shared" si="6"/>
        <v>/</v>
      </c>
      <c r="AC18" s="206"/>
      <c r="AD18" s="207"/>
      <c r="AE18" s="247">
        <f t="shared" si="15"/>
        <v>0</v>
      </c>
    </row>
    <row r="19" spans="1:31" s="208" customFormat="1" ht="15" customHeight="1" outlineLevel="1" x14ac:dyDescent="0.25">
      <c r="A19" s="202" t="s">
        <v>43</v>
      </c>
      <c r="B19" s="29">
        <v>0</v>
      </c>
      <c r="C19" s="29">
        <v>0</v>
      </c>
      <c r="D19" s="30"/>
      <c r="E19" s="30"/>
      <c r="F19" s="203">
        <v>0</v>
      </c>
      <c r="G19" s="203">
        <f t="shared" si="18"/>
        <v>0</v>
      </c>
      <c r="H19" s="33">
        <v>0</v>
      </c>
      <c r="I19" s="238">
        <v>0</v>
      </c>
      <c r="J19" s="238">
        <f t="shared" si="9"/>
        <v>0</v>
      </c>
      <c r="K19" s="201"/>
      <c r="L19" s="205" t="str">
        <f t="shared" si="2"/>
        <v>/</v>
      </c>
      <c r="M19" s="203">
        <f t="shared" si="19"/>
        <v>0</v>
      </c>
      <c r="N19" s="203">
        <f t="shared" si="17"/>
        <v>0</v>
      </c>
      <c r="O19" s="231"/>
      <c r="P19" s="231"/>
      <c r="Q19" s="35">
        <v>-5.3772000000000002</v>
      </c>
      <c r="R19" s="35"/>
      <c r="S19" s="37"/>
      <c r="T19" s="35"/>
      <c r="U19" s="35"/>
      <c r="V19" s="37"/>
      <c r="W19" s="35"/>
      <c r="X19" s="33">
        <v>-5.3772000000000002</v>
      </c>
      <c r="Y19" s="238">
        <v>-5.3772000000000002</v>
      </c>
      <c r="Z19" s="238">
        <f t="shared" si="12"/>
        <v>0</v>
      </c>
      <c r="AA19" s="205"/>
      <c r="AB19" s="205" t="str">
        <f t="shared" si="6"/>
        <v>/</v>
      </c>
      <c r="AC19" s="206"/>
      <c r="AD19" s="207"/>
      <c r="AE19" s="247">
        <f t="shared" si="15"/>
        <v>0</v>
      </c>
    </row>
    <row r="20" spans="1:31" s="211" customFormat="1" ht="15" customHeight="1" outlineLevel="1" x14ac:dyDescent="0.25">
      <c r="A20" s="202" t="s">
        <v>44</v>
      </c>
      <c r="B20" s="29">
        <v>0</v>
      </c>
      <c r="C20" s="29">
        <v>0</v>
      </c>
      <c r="D20" s="30"/>
      <c r="E20" s="30"/>
      <c r="F20" s="203">
        <v>0</v>
      </c>
      <c r="G20" s="203">
        <f t="shared" si="18"/>
        <v>0</v>
      </c>
      <c r="H20" s="33">
        <v>0</v>
      </c>
      <c r="I20" s="238">
        <v>0</v>
      </c>
      <c r="J20" s="238">
        <f t="shared" si="9"/>
        <v>0</v>
      </c>
      <c r="K20" s="201"/>
      <c r="L20" s="205" t="str">
        <f t="shared" si="2"/>
        <v>/</v>
      </c>
      <c r="M20" s="203">
        <f t="shared" si="19"/>
        <v>0</v>
      </c>
      <c r="N20" s="203">
        <f t="shared" si="17"/>
        <v>0</v>
      </c>
      <c r="O20" s="231"/>
      <c r="P20" s="231"/>
      <c r="Q20" s="35">
        <v>-4.5644999999999998</v>
      </c>
      <c r="R20" s="35"/>
      <c r="S20" s="37"/>
      <c r="T20" s="35"/>
      <c r="U20" s="35"/>
      <c r="V20" s="37"/>
      <c r="W20" s="35"/>
      <c r="X20" s="33">
        <v>-4.5644999999999998</v>
      </c>
      <c r="Y20" s="238">
        <v>-4.5644999999999998</v>
      </c>
      <c r="Z20" s="238">
        <f t="shared" si="12"/>
        <v>0</v>
      </c>
      <c r="AA20" s="205"/>
      <c r="AB20" s="205" t="str">
        <f t="shared" si="6"/>
        <v>/</v>
      </c>
      <c r="AC20" s="206"/>
      <c r="AD20" s="210"/>
      <c r="AE20" s="247">
        <f t="shared" si="15"/>
        <v>0</v>
      </c>
    </row>
    <row r="21" spans="1:31" s="212" customFormat="1" ht="15" customHeight="1" outlineLevel="1" x14ac:dyDescent="0.25">
      <c r="A21" s="52" t="s">
        <v>45</v>
      </c>
      <c r="B21" s="29">
        <v>0</v>
      </c>
      <c r="C21" s="29">
        <v>0</v>
      </c>
      <c r="D21" s="30"/>
      <c r="E21" s="30"/>
      <c r="F21" s="42">
        <v>0</v>
      </c>
      <c r="G21" s="42">
        <f t="shared" si="18"/>
        <v>0</v>
      </c>
      <c r="H21" s="33">
        <v>0</v>
      </c>
      <c r="I21" s="238">
        <v>0</v>
      </c>
      <c r="J21" s="238">
        <f t="shared" si="9"/>
        <v>0</v>
      </c>
      <c r="K21" s="201"/>
      <c r="L21" s="53" t="str">
        <f t="shared" si="2"/>
        <v>/</v>
      </c>
      <c r="M21" s="203">
        <f t="shared" si="19"/>
        <v>0</v>
      </c>
      <c r="N21" s="42">
        <f t="shared" si="17"/>
        <v>0</v>
      </c>
      <c r="O21" s="233"/>
      <c r="P21" s="233"/>
      <c r="Q21" s="35">
        <v>13.0989</v>
      </c>
      <c r="R21" s="35"/>
      <c r="S21" s="37"/>
      <c r="T21" s="35"/>
      <c r="U21" s="35"/>
      <c r="V21" s="37"/>
      <c r="W21" s="35"/>
      <c r="X21" s="33">
        <v>13.0989</v>
      </c>
      <c r="Y21" s="238">
        <v>13.0989</v>
      </c>
      <c r="Z21" s="238">
        <f t="shared" si="12"/>
        <v>0</v>
      </c>
      <c r="AA21" s="53"/>
      <c r="AB21" s="53" t="str">
        <f t="shared" si="6"/>
        <v>/</v>
      </c>
      <c r="AC21" s="50"/>
      <c r="AD21" s="49"/>
      <c r="AE21" s="247">
        <f t="shared" si="15"/>
        <v>0</v>
      </c>
    </row>
    <row r="22" spans="1:31" s="208" customFormat="1" ht="15" customHeight="1" outlineLevel="1" x14ac:dyDescent="0.25">
      <c r="A22" s="202" t="s">
        <v>46</v>
      </c>
      <c r="B22" s="29">
        <v>2400</v>
      </c>
      <c r="C22" s="29">
        <v>1000</v>
      </c>
      <c r="D22" s="30"/>
      <c r="E22" s="30"/>
      <c r="F22" s="203">
        <v>0</v>
      </c>
      <c r="G22" s="203">
        <f t="shared" si="18"/>
        <v>0</v>
      </c>
      <c r="H22" s="33">
        <v>0</v>
      </c>
      <c r="I22" s="238">
        <v>0</v>
      </c>
      <c r="J22" s="238">
        <f t="shared" si="9"/>
        <v>0</v>
      </c>
      <c r="K22" s="201">
        <f>H22/B22</f>
        <v>0</v>
      </c>
      <c r="L22" s="205" t="str">
        <f t="shared" si="2"/>
        <v>/</v>
      </c>
      <c r="M22" s="203">
        <f t="shared" si="19"/>
        <v>0</v>
      </c>
      <c r="N22" s="203">
        <f t="shared" si="17"/>
        <v>0</v>
      </c>
      <c r="O22" s="231">
        <f>N22/B22</f>
        <v>0</v>
      </c>
      <c r="P22" s="231"/>
      <c r="Q22" s="35"/>
      <c r="R22" s="35"/>
      <c r="S22" s="37"/>
      <c r="T22" s="35"/>
      <c r="U22" s="35"/>
      <c r="V22" s="37"/>
      <c r="W22" s="35"/>
      <c r="X22" s="33">
        <f t="shared" si="14"/>
        <v>0</v>
      </c>
      <c r="Y22" s="238">
        <v>0</v>
      </c>
      <c r="Z22" s="238">
        <f t="shared" si="12"/>
        <v>0</v>
      </c>
      <c r="AA22" s="205">
        <f t="shared" si="13"/>
        <v>0</v>
      </c>
      <c r="AB22" s="205" t="str">
        <f t="shared" si="6"/>
        <v>/</v>
      </c>
      <c r="AC22" s="206"/>
      <c r="AD22" s="207"/>
      <c r="AE22" s="247">
        <f t="shared" si="15"/>
        <v>0</v>
      </c>
    </row>
    <row r="23" spans="1:31" s="208" customFormat="1" ht="15" customHeight="1" x14ac:dyDescent="0.25">
      <c r="A23" s="202" t="s">
        <v>47</v>
      </c>
      <c r="B23" s="29">
        <v>300</v>
      </c>
      <c r="C23" s="29">
        <v>300</v>
      </c>
      <c r="D23" s="30">
        <v>300</v>
      </c>
      <c r="E23" s="30">
        <v>300</v>
      </c>
      <c r="F23" s="203">
        <v>127.077</v>
      </c>
      <c r="G23" s="203">
        <f t="shared" si="18"/>
        <v>99.923000000000002</v>
      </c>
      <c r="H23" s="33">
        <v>227</v>
      </c>
      <c r="I23" s="238">
        <v>300</v>
      </c>
      <c r="J23" s="238">
        <f t="shared" si="9"/>
        <v>-73</v>
      </c>
      <c r="K23" s="201">
        <f>H23/B23</f>
        <v>0.75666666666666671</v>
      </c>
      <c r="L23" s="205">
        <f t="shared" si="2"/>
        <v>0.75666666666666671</v>
      </c>
      <c r="M23" s="203">
        <f t="shared" si="19"/>
        <v>99.923000000000002</v>
      </c>
      <c r="N23" s="203">
        <f t="shared" si="17"/>
        <v>227</v>
      </c>
      <c r="O23" s="231">
        <f>N23/B23</f>
        <v>0.75666666666666671</v>
      </c>
      <c r="P23" s="231">
        <f>N23/D23</f>
        <v>0.75666666666666671</v>
      </c>
      <c r="Q23" s="35">
        <v>111</v>
      </c>
      <c r="R23" s="35">
        <v>135</v>
      </c>
      <c r="S23" s="37">
        <v>23</v>
      </c>
      <c r="T23" s="35">
        <v>61</v>
      </c>
      <c r="U23" s="35">
        <v>51</v>
      </c>
      <c r="V23" s="37">
        <v>0</v>
      </c>
      <c r="W23" s="35">
        <v>77</v>
      </c>
      <c r="X23" s="33">
        <f t="shared" si="14"/>
        <v>300</v>
      </c>
      <c r="Y23" s="238">
        <v>300</v>
      </c>
      <c r="Z23" s="238">
        <f t="shared" si="12"/>
        <v>0</v>
      </c>
      <c r="AA23" s="205">
        <f t="shared" si="13"/>
        <v>1</v>
      </c>
      <c r="AB23" s="205">
        <f t="shared" si="6"/>
        <v>1</v>
      </c>
      <c r="AC23" s="206">
        <f>(T23+U23)/(R23-S23)</f>
        <v>1</v>
      </c>
      <c r="AD23" s="207"/>
      <c r="AE23" s="247">
        <f t="shared" si="15"/>
        <v>0</v>
      </c>
    </row>
    <row r="24" spans="1:31" s="208" customFormat="1" ht="15" customHeight="1" x14ac:dyDescent="0.25">
      <c r="A24" s="202" t="s">
        <v>48</v>
      </c>
      <c r="B24" s="29">
        <v>220</v>
      </c>
      <c r="C24" s="29">
        <v>220</v>
      </c>
      <c r="D24" s="30">
        <v>220</v>
      </c>
      <c r="E24" s="30">
        <v>220</v>
      </c>
      <c r="F24" s="203">
        <v>221.65440000000001</v>
      </c>
      <c r="G24" s="203">
        <f t="shared" si="18"/>
        <v>0.34559999999999036</v>
      </c>
      <c r="H24" s="33">
        <v>222</v>
      </c>
      <c r="I24" s="238">
        <v>222</v>
      </c>
      <c r="J24" s="238">
        <f t="shared" si="9"/>
        <v>0</v>
      </c>
      <c r="K24" s="201">
        <f>H24/B24</f>
        <v>1.009090909090909</v>
      </c>
      <c r="L24" s="205">
        <f t="shared" si="2"/>
        <v>1.009090909090909</v>
      </c>
      <c r="M24" s="203">
        <f t="shared" si="19"/>
        <v>0.34559999999999036</v>
      </c>
      <c r="N24" s="203">
        <f t="shared" si="17"/>
        <v>222</v>
      </c>
      <c r="O24" s="231">
        <f>N24/B24</f>
        <v>1.009090909090909</v>
      </c>
      <c r="P24" s="231">
        <f>N24/D24</f>
        <v>1.009090909090909</v>
      </c>
      <c r="Q24" s="35">
        <v>13.053000000000001</v>
      </c>
      <c r="R24" s="35">
        <v>222</v>
      </c>
      <c r="S24" s="37">
        <v>0</v>
      </c>
      <c r="T24" s="35">
        <v>222</v>
      </c>
      <c r="U24" s="35">
        <v>0</v>
      </c>
      <c r="V24" s="37">
        <v>0</v>
      </c>
      <c r="W24" s="35">
        <v>0</v>
      </c>
      <c r="X24" s="33">
        <f>Q24+T24+U24+W24+V24</f>
        <v>235.053</v>
      </c>
      <c r="Y24" s="238">
        <v>222</v>
      </c>
      <c r="Z24" s="238">
        <f t="shared" si="12"/>
        <v>13.052999999999997</v>
      </c>
      <c r="AA24" s="205">
        <f t="shared" si="13"/>
        <v>1.0684227272727274</v>
      </c>
      <c r="AB24" s="205">
        <f t="shared" si="6"/>
        <v>1.0684227272727274</v>
      </c>
      <c r="AC24" s="206">
        <f>(T24+U24)/(R24-S24)</f>
        <v>1</v>
      </c>
      <c r="AD24" s="207"/>
      <c r="AE24" s="247">
        <f t="shared" si="15"/>
        <v>0</v>
      </c>
    </row>
    <row r="25" spans="1:31" s="208" customFormat="1" ht="15" customHeight="1" x14ac:dyDescent="0.25">
      <c r="A25" s="202" t="s">
        <v>49</v>
      </c>
      <c r="B25" s="29">
        <v>230</v>
      </c>
      <c r="C25" s="29">
        <v>530</v>
      </c>
      <c r="D25" s="30">
        <v>230</v>
      </c>
      <c r="E25" s="30">
        <v>230</v>
      </c>
      <c r="F25" s="203">
        <v>0</v>
      </c>
      <c r="G25" s="203">
        <f t="shared" si="18"/>
        <v>100</v>
      </c>
      <c r="H25" s="33">
        <v>100</v>
      </c>
      <c r="I25" s="238">
        <v>100</v>
      </c>
      <c r="J25" s="238">
        <f t="shared" si="9"/>
        <v>0</v>
      </c>
      <c r="K25" s="201">
        <f>H25/B25</f>
        <v>0.43478260869565216</v>
      </c>
      <c r="L25" s="205">
        <f t="shared" si="2"/>
        <v>0.43478260869565216</v>
      </c>
      <c r="M25" s="203">
        <f t="shared" si="19"/>
        <v>100</v>
      </c>
      <c r="N25" s="203">
        <f t="shared" si="17"/>
        <v>100</v>
      </c>
      <c r="O25" s="231">
        <f>N25/B25</f>
        <v>0.43478260869565216</v>
      </c>
      <c r="P25" s="231">
        <f>N25/D25</f>
        <v>0.43478260869565216</v>
      </c>
      <c r="Q25" s="35">
        <v>0</v>
      </c>
      <c r="R25" s="35">
        <v>340</v>
      </c>
      <c r="S25" s="37">
        <v>0</v>
      </c>
      <c r="T25" s="35">
        <v>0</v>
      </c>
      <c r="U25" s="35">
        <v>340</v>
      </c>
      <c r="V25" s="37">
        <v>0</v>
      </c>
      <c r="W25" s="35">
        <v>100</v>
      </c>
      <c r="X25" s="33">
        <f t="shared" si="14"/>
        <v>440</v>
      </c>
      <c r="Y25" s="238">
        <v>440</v>
      </c>
      <c r="Z25" s="238">
        <f t="shared" si="12"/>
        <v>0</v>
      </c>
      <c r="AA25" s="205">
        <f t="shared" si="13"/>
        <v>0.83018867924528306</v>
      </c>
      <c r="AB25" s="205">
        <f t="shared" si="6"/>
        <v>1.9130434782608696</v>
      </c>
      <c r="AC25" s="206">
        <f>(T25+U25)/(R25-S25)</f>
        <v>1</v>
      </c>
      <c r="AD25" s="207"/>
      <c r="AE25" s="247">
        <f t="shared" si="15"/>
        <v>0</v>
      </c>
    </row>
    <row r="26" spans="1:31" s="208" customFormat="1" ht="15" customHeight="1" x14ac:dyDescent="0.25">
      <c r="A26" s="202" t="s">
        <v>275</v>
      </c>
      <c r="B26" s="29"/>
      <c r="C26" s="29"/>
      <c r="D26" s="30"/>
      <c r="E26" s="30"/>
      <c r="F26" s="203"/>
      <c r="G26" s="203">
        <v>2000</v>
      </c>
      <c r="H26" s="33">
        <f>G26</f>
        <v>2000</v>
      </c>
      <c r="I26" s="238">
        <v>2000</v>
      </c>
      <c r="J26" s="238">
        <f t="shared" si="9"/>
        <v>0</v>
      </c>
      <c r="K26" s="201"/>
      <c r="L26" s="205"/>
      <c r="M26" s="203">
        <v>2000</v>
      </c>
      <c r="N26" s="203">
        <f>M26+F26</f>
        <v>2000</v>
      </c>
      <c r="O26" s="231"/>
      <c r="P26" s="231"/>
      <c r="Q26" s="35"/>
      <c r="R26" s="35"/>
      <c r="S26" s="37"/>
      <c r="T26" s="35"/>
      <c r="U26" s="35"/>
      <c r="V26" s="37"/>
      <c r="W26" s="35">
        <v>2000</v>
      </c>
      <c r="X26" s="33">
        <f t="shared" si="14"/>
        <v>2000</v>
      </c>
      <c r="Y26" s="238">
        <v>2000</v>
      </c>
      <c r="Z26" s="238">
        <f t="shared" si="12"/>
        <v>0</v>
      </c>
      <c r="AA26" s="205"/>
      <c r="AB26" s="205"/>
      <c r="AC26" s="206"/>
      <c r="AD26" s="207"/>
      <c r="AE26" s="247">
        <f t="shared" si="15"/>
        <v>0</v>
      </c>
    </row>
    <row r="27" spans="1:31" s="208" customFormat="1" ht="15" customHeight="1" x14ac:dyDescent="0.25">
      <c r="A27" s="202" t="s">
        <v>276</v>
      </c>
      <c r="B27" s="29"/>
      <c r="C27" s="29"/>
      <c r="D27" s="30"/>
      <c r="E27" s="30"/>
      <c r="F27" s="203"/>
      <c r="G27" s="203">
        <v>2900</v>
      </c>
      <c r="H27" s="33">
        <f>G27</f>
        <v>2900</v>
      </c>
      <c r="I27" s="238">
        <v>2900</v>
      </c>
      <c r="J27" s="238">
        <f t="shared" si="9"/>
        <v>0</v>
      </c>
      <c r="K27" s="201"/>
      <c r="L27" s="205"/>
      <c r="M27" s="203">
        <v>2900</v>
      </c>
      <c r="N27" s="203">
        <f t="shared" ref="N27:N28" si="20">M27+F27</f>
        <v>2900</v>
      </c>
      <c r="O27" s="231"/>
      <c r="P27" s="231"/>
      <c r="Q27" s="35"/>
      <c r="R27" s="35"/>
      <c r="S27" s="37"/>
      <c r="T27" s="35"/>
      <c r="U27" s="35"/>
      <c r="V27" s="37"/>
      <c r="W27" s="35">
        <v>2900</v>
      </c>
      <c r="X27" s="33">
        <f t="shared" si="14"/>
        <v>2900</v>
      </c>
      <c r="Y27" s="238">
        <v>2900</v>
      </c>
      <c r="Z27" s="238">
        <f t="shared" si="12"/>
        <v>0</v>
      </c>
      <c r="AA27" s="205"/>
      <c r="AB27" s="205"/>
      <c r="AC27" s="206"/>
      <c r="AD27" s="207"/>
      <c r="AE27" s="247">
        <f t="shared" si="15"/>
        <v>0</v>
      </c>
    </row>
    <row r="28" spans="1:31" s="213" customFormat="1" ht="15" customHeight="1" x14ac:dyDescent="0.25">
      <c r="A28" s="240" t="s">
        <v>279</v>
      </c>
      <c r="B28" s="29"/>
      <c r="C28" s="29"/>
      <c r="D28" s="227"/>
      <c r="E28" s="227"/>
      <c r="F28" s="237"/>
      <c r="G28" s="237"/>
      <c r="H28" s="238"/>
      <c r="I28" s="238">
        <v>470</v>
      </c>
      <c r="J28" s="238">
        <f t="shared" si="9"/>
        <v>-470</v>
      </c>
      <c r="K28" s="201"/>
      <c r="L28" s="233"/>
      <c r="M28" s="237"/>
      <c r="N28" s="203">
        <f t="shared" si="20"/>
        <v>0</v>
      </c>
      <c r="O28" s="233"/>
      <c r="P28" s="233"/>
      <c r="Q28" s="100"/>
      <c r="R28" s="100"/>
      <c r="S28" s="37"/>
      <c r="T28" s="100"/>
      <c r="U28" s="100"/>
      <c r="V28" s="37"/>
      <c r="W28" s="100"/>
      <c r="X28" s="33">
        <f t="shared" si="14"/>
        <v>0</v>
      </c>
      <c r="Y28" s="238">
        <v>470</v>
      </c>
      <c r="Z28" s="238">
        <f t="shared" si="12"/>
        <v>-470</v>
      </c>
      <c r="AA28" s="233"/>
      <c r="AB28" s="233"/>
      <c r="AC28" s="50"/>
      <c r="AD28" s="239"/>
      <c r="AE28" s="247">
        <f t="shared" si="15"/>
        <v>0</v>
      </c>
    </row>
    <row r="29" spans="1:31" s="188" customFormat="1" ht="15" customHeight="1" x14ac:dyDescent="0.25">
      <c r="A29" s="208"/>
      <c r="B29" s="214"/>
      <c r="C29" s="214"/>
      <c r="D29" s="215"/>
      <c r="E29" s="215"/>
      <c r="F29" s="216"/>
      <c r="G29" s="216"/>
      <c r="H29" s="216"/>
      <c r="I29" s="228"/>
      <c r="J29" s="228"/>
      <c r="K29" s="211"/>
      <c r="L29" s="208"/>
      <c r="M29" s="216"/>
      <c r="N29" s="216"/>
      <c r="O29" s="213"/>
      <c r="P29" s="213"/>
      <c r="Q29" s="65"/>
      <c r="R29" s="65"/>
      <c r="S29" s="66"/>
      <c r="T29" s="65"/>
      <c r="U29" s="65"/>
      <c r="V29" s="66"/>
      <c r="W29" s="65"/>
      <c r="X29" s="216"/>
      <c r="Y29" s="228"/>
      <c r="Z29" s="228"/>
      <c r="AA29" s="208"/>
      <c r="AB29" s="208"/>
      <c r="AC29" s="209"/>
      <c r="AD29" s="217"/>
    </row>
    <row r="30" spans="1:31" s="208" customFormat="1" ht="15" customHeight="1" x14ac:dyDescent="0.25">
      <c r="A30" s="218" t="s">
        <v>50</v>
      </c>
      <c r="B30" s="69"/>
      <c r="C30" s="69"/>
      <c r="D30" s="70">
        <v>4000</v>
      </c>
      <c r="E30" s="70">
        <v>4000</v>
      </c>
      <c r="F30" s="71">
        <v>1192.5575000000001</v>
      </c>
      <c r="G30" s="71">
        <f>H30-F30</f>
        <v>2807.4425000000001</v>
      </c>
      <c r="H30" s="72">
        <v>4000</v>
      </c>
      <c r="I30" s="243">
        <v>5550</v>
      </c>
      <c r="J30" s="238">
        <f t="shared" ref="J30:J31" si="21">H30-I30</f>
        <v>-1550</v>
      </c>
      <c r="K30" s="219"/>
      <c r="L30" s="220">
        <f>IFERROR(H30/D30,"/")</f>
        <v>1</v>
      </c>
      <c r="M30" s="71">
        <f>G30</f>
        <v>2807.4425000000001</v>
      </c>
      <c r="N30" s="71">
        <f t="shared" ref="N30:N31" si="22">M30+F30</f>
        <v>4000</v>
      </c>
      <c r="O30" s="234"/>
      <c r="P30" s="234"/>
      <c r="Q30" s="75">
        <v>2222.1033000000002</v>
      </c>
      <c r="R30" s="75">
        <v>7013</v>
      </c>
      <c r="S30" s="76"/>
      <c r="T30" s="75"/>
      <c r="U30" s="75">
        <f>6000-Q30</f>
        <v>3777.8966999999998</v>
      </c>
      <c r="V30" s="76"/>
      <c r="W30" s="75"/>
      <c r="X30" s="33">
        <f t="shared" ref="X30" si="23">Q30+T30+U30+W30+V30</f>
        <v>6000</v>
      </c>
      <c r="Y30" s="243">
        <v>6000</v>
      </c>
      <c r="Z30" s="238">
        <f t="shared" si="12"/>
        <v>0</v>
      </c>
      <c r="AA30" s="220"/>
      <c r="AB30" s="220">
        <f>IFERROR(X30/E30,"/")</f>
        <v>1.5</v>
      </c>
      <c r="AC30" s="221"/>
      <c r="AD30" s="222"/>
    </row>
    <row r="31" spans="1:31" s="208" customFormat="1" ht="15" customHeight="1" x14ac:dyDescent="0.25">
      <c r="A31" s="218" t="s">
        <v>51</v>
      </c>
      <c r="B31" s="69"/>
      <c r="C31" s="69"/>
      <c r="D31" s="79">
        <v>9000</v>
      </c>
      <c r="E31" s="79"/>
      <c r="F31" s="71">
        <v>5160</v>
      </c>
      <c r="G31" s="71">
        <f>8000-F31</f>
        <v>2840</v>
      </c>
      <c r="H31" s="72">
        <f>F31+G31</f>
        <v>8000</v>
      </c>
      <c r="I31" s="243">
        <v>8000</v>
      </c>
      <c r="J31" s="238">
        <f t="shared" si="21"/>
        <v>0</v>
      </c>
      <c r="K31" s="219"/>
      <c r="L31" s="220">
        <f>IFERROR(H31/D31,"/")</f>
        <v>0.88888888888888884</v>
      </c>
      <c r="M31" s="71">
        <f>G31</f>
        <v>2840</v>
      </c>
      <c r="N31" s="71">
        <f t="shared" si="22"/>
        <v>8000</v>
      </c>
      <c r="O31" s="234"/>
      <c r="P31" s="234"/>
      <c r="Q31" s="75"/>
      <c r="R31" s="75"/>
      <c r="S31" s="80"/>
      <c r="T31" s="75"/>
      <c r="U31" s="75"/>
      <c r="V31" s="76"/>
      <c r="W31" s="75"/>
      <c r="X31" s="72"/>
      <c r="Y31" s="243"/>
      <c r="Z31" s="243"/>
      <c r="AA31" s="220"/>
      <c r="AB31" s="220" t="str">
        <f>IFERROR(X31/E31,"/")</f>
        <v>/</v>
      </c>
      <c r="AC31" s="221"/>
      <c r="AD31" s="222"/>
    </row>
    <row r="32" spans="1:31" s="188" customFormat="1" ht="18" customHeight="1" x14ac:dyDescent="0.25">
      <c r="A32" s="208"/>
      <c r="B32" s="211"/>
      <c r="C32" s="211"/>
      <c r="D32" s="208"/>
      <c r="E32" s="208"/>
      <c r="F32" s="208"/>
      <c r="G32" s="208"/>
      <c r="H32" s="208"/>
      <c r="I32" s="213"/>
      <c r="J32" s="213"/>
      <c r="K32" s="211"/>
      <c r="L32" s="208"/>
      <c r="M32" s="213"/>
      <c r="N32" s="213"/>
      <c r="O32" s="213"/>
      <c r="P32" s="213"/>
      <c r="Q32" s="208"/>
      <c r="R32" s="208"/>
      <c r="S32" s="211"/>
      <c r="T32" s="208"/>
      <c r="U32" s="208"/>
      <c r="V32" s="211"/>
      <c r="W32" s="208"/>
      <c r="X32" s="208"/>
      <c r="Y32" s="213"/>
      <c r="Z32" s="213"/>
      <c r="AA32" s="213"/>
      <c r="AB32" s="208"/>
      <c r="AC32" s="209"/>
      <c r="AD32" s="217"/>
    </row>
    <row r="33" spans="1:30" s="208" customFormat="1" ht="15" customHeight="1" x14ac:dyDescent="0.25">
      <c r="A33" s="183"/>
      <c r="B33" s="182"/>
      <c r="C33" s="182"/>
      <c r="D33" s="183"/>
      <c r="E33" s="183"/>
      <c r="F33" s="223"/>
      <c r="G33" s="223"/>
      <c r="H33" s="223"/>
      <c r="I33" s="244"/>
      <c r="J33" s="244"/>
      <c r="K33" s="182"/>
      <c r="L33" s="183"/>
      <c r="M33" s="226"/>
      <c r="N33" s="226"/>
      <c r="O33" s="226"/>
      <c r="P33" s="226"/>
      <c r="Q33" s="183"/>
      <c r="R33" s="183"/>
      <c r="S33" s="182"/>
      <c r="T33" s="183"/>
      <c r="U33" s="183"/>
      <c r="V33" s="182"/>
      <c r="W33" s="183"/>
      <c r="X33" s="183"/>
      <c r="Y33" s="226"/>
      <c r="Z33" s="226"/>
      <c r="AA33" s="226"/>
      <c r="AB33" s="183"/>
      <c r="AC33" s="182"/>
      <c r="AD33" s="224"/>
    </row>
    <row r="34" spans="1:30" s="208" customFormat="1" ht="18" customHeight="1" x14ac:dyDescent="0.25">
      <c r="G34" s="211"/>
      <c r="H34" s="211"/>
      <c r="I34" s="213"/>
      <c r="J34" s="213"/>
      <c r="M34" s="213"/>
      <c r="N34" s="213"/>
      <c r="O34" s="213"/>
      <c r="P34" s="213"/>
      <c r="Y34" s="213"/>
      <c r="Z34" s="213"/>
      <c r="AA34" s="213"/>
      <c r="AC34" s="209"/>
      <c r="AD34" s="224"/>
    </row>
    <row r="35" spans="1:30" s="188" customFormat="1" ht="18" customHeight="1" x14ac:dyDescent="0.25">
      <c r="A35" s="208"/>
      <c r="B35" s="211"/>
      <c r="C35" s="211"/>
      <c r="D35" s="208"/>
      <c r="E35" s="208"/>
      <c r="F35" s="208"/>
      <c r="G35" s="208"/>
      <c r="H35" s="208"/>
      <c r="I35" s="213"/>
      <c r="J35" s="213"/>
      <c r="K35" s="211"/>
      <c r="L35" s="208"/>
      <c r="M35" s="213"/>
      <c r="N35" s="213"/>
      <c r="O35" s="213"/>
      <c r="P35" s="213"/>
      <c r="Q35" s="208"/>
      <c r="R35" s="208"/>
      <c r="S35" s="211"/>
      <c r="T35" s="208"/>
      <c r="U35" s="208"/>
      <c r="V35" s="211"/>
      <c r="W35" s="208"/>
      <c r="X35" s="208"/>
      <c r="Y35" s="213"/>
      <c r="Z35" s="213"/>
      <c r="AA35" s="213"/>
      <c r="AB35" s="208"/>
      <c r="AC35" s="209"/>
      <c r="AD35" s="217"/>
    </row>
    <row r="36" spans="1:30" s="188" customFormat="1" ht="18" customHeight="1" x14ac:dyDescent="0.25">
      <c r="A36" s="208"/>
      <c r="B36" s="211"/>
      <c r="C36" s="211"/>
      <c r="D36" s="208"/>
      <c r="E36" s="208"/>
      <c r="F36" s="208"/>
      <c r="G36" s="208"/>
      <c r="H36" s="208"/>
      <c r="I36" s="213"/>
      <c r="J36" s="213"/>
      <c r="K36" s="211"/>
      <c r="L36" s="208"/>
      <c r="M36" s="213"/>
      <c r="N36" s="213"/>
      <c r="O36" s="213"/>
      <c r="P36" s="213"/>
      <c r="Q36" s="208"/>
      <c r="R36" s="208"/>
      <c r="S36" s="211"/>
      <c r="T36" s="208"/>
      <c r="U36" s="208"/>
      <c r="V36" s="211"/>
      <c r="W36" s="208"/>
      <c r="X36" s="208"/>
      <c r="Y36" s="213"/>
      <c r="Z36" s="213"/>
      <c r="AA36" s="213"/>
      <c r="AB36" s="208"/>
      <c r="AC36" s="209"/>
      <c r="AD36" s="217"/>
    </row>
    <row r="37" spans="1:30" s="188" customFormat="1" ht="18" customHeight="1" x14ac:dyDescent="0.25">
      <c r="A37" s="208"/>
      <c r="B37" s="211"/>
      <c r="C37" s="211"/>
      <c r="D37" s="208"/>
      <c r="E37" s="208"/>
      <c r="F37" s="84"/>
      <c r="G37" s="208"/>
      <c r="H37" s="84"/>
      <c r="I37" s="245"/>
      <c r="J37" s="245"/>
      <c r="K37" s="211"/>
      <c r="L37" s="208"/>
      <c r="M37" s="213"/>
      <c r="N37" s="213"/>
      <c r="O37" s="213"/>
      <c r="P37" s="213"/>
      <c r="Q37" s="208"/>
      <c r="R37" s="208"/>
      <c r="S37" s="211"/>
      <c r="T37" s="208"/>
      <c r="U37" s="208"/>
      <c r="V37" s="211"/>
      <c r="W37" s="208"/>
      <c r="X37" s="208"/>
      <c r="Y37" s="213"/>
      <c r="Z37" s="213"/>
      <c r="AA37" s="213"/>
      <c r="AB37" s="208"/>
      <c r="AC37" s="209"/>
      <c r="AD37" s="217"/>
    </row>
    <row r="38" spans="1:30" s="188" customFormat="1" ht="13.2" customHeight="1" x14ac:dyDescent="0.25">
      <c r="A38" s="208"/>
      <c r="B38" s="211"/>
      <c r="C38" s="211"/>
      <c r="D38" s="208"/>
      <c r="E38" s="208"/>
      <c r="F38" s="208"/>
      <c r="G38" s="208"/>
      <c r="H38" s="208"/>
      <c r="I38" s="213"/>
      <c r="J38" s="213"/>
      <c r="K38" s="211"/>
      <c r="L38" s="208"/>
      <c r="M38" s="213"/>
      <c r="N38" s="213"/>
      <c r="O38" s="213"/>
      <c r="P38" s="213"/>
      <c r="Q38" s="208"/>
      <c r="R38" s="208"/>
      <c r="S38" s="211"/>
      <c r="T38" s="208"/>
      <c r="U38" s="208"/>
      <c r="V38" s="211"/>
      <c r="W38" s="208"/>
      <c r="X38" s="208"/>
      <c r="Y38" s="213"/>
      <c r="Z38" s="213"/>
      <c r="AA38" s="213"/>
      <c r="AB38" s="208"/>
      <c r="AC38" s="209"/>
      <c r="AD38" s="217"/>
    </row>
    <row r="39" spans="1:30" s="188" customFormat="1" ht="13.2" customHeight="1" x14ac:dyDescent="0.25">
      <c r="A39" s="208"/>
      <c r="B39" s="211"/>
      <c r="C39" s="211"/>
      <c r="D39" s="208"/>
      <c r="E39" s="208"/>
      <c r="F39" s="208"/>
      <c r="G39" s="208"/>
      <c r="H39" s="208"/>
      <c r="I39" s="213"/>
      <c r="J39" s="213"/>
      <c r="K39" s="211"/>
      <c r="L39" s="208"/>
      <c r="M39" s="213"/>
      <c r="N39" s="213"/>
      <c r="O39" s="213"/>
      <c r="P39" s="213"/>
      <c r="Q39" s="208"/>
      <c r="R39" s="208"/>
      <c r="S39" s="211"/>
      <c r="T39" s="208"/>
      <c r="U39" s="208"/>
      <c r="V39" s="211"/>
      <c r="W39" s="208"/>
      <c r="X39" s="208"/>
      <c r="Y39" s="213"/>
      <c r="Z39" s="213"/>
      <c r="AA39" s="213"/>
      <c r="AB39" s="208"/>
      <c r="AC39" s="209"/>
      <c r="AD39" s="217"/>
    </row>
    <row r="40" spans="1:30" s="188" customFormat="1" ht="13.2" customHeight="1" x14ac:dyDescent="0.25">
      <c r="A40" s="208"/>
      <c r="B40" s="211"/>
      <c r="C40" s="211"/>
      <c r="D40" s="208"/>
      <c r="E40" s="208"/>
      <c r="F40" s="208"/>
      <c r="G40" s="208"/>
      <c r="H40" s="208"/>
      <c r="I40" s="213"/>
      <c r="J40" s="213"/>
      <c r="K40" s="211"/>
      <c r="L40" s="208"/>
      <c r="M40" s="213"/>
      <c r="N40" s="213"/>
      <c r="O40" s="213"/>
      <c r="P40" s="213"/>
      <c r="Q40" s="208"/>
      <c r="R40" s="208"/>
      <c r="S40" s="211"/>
      <c r="T40" s="208"/>
      <c r="U40" s="208"/>
      <c r="V40" s="211"/>
      <c r="W40" s="208"/>
      <c r="X40" s="208"/>
      <c r="Y40" s="213"/>
      <c r="Z40" s="213"/>
      <c r="AA40" s="213"/>
      <c r="AB40" s="208"/>
      <c r="AC40" s="209"/>
      <c r="AD40" s="217"/>
    </row>
    <row r="41" spans="1:30" s="188" customFormat="1" ht="13.2" customHeight="1" x14ac:dyDescent="0.25">
      <c r="A41" s="208"/>
      <c r="B41" s="211"/>
      <c r="C41" s="211"/>
      <c r="D41" s="208"/>
      <c r="E41" s="208"/>
      <c r="F41" s="208"/>
      <c r="G41" s="208"/>
      <c r="H41" s="208"/>
      <c r="I41" s="213"/>
      <c r="J41" s="213"/>
      <c r="K41" s="211"/>
      <c r="L41" s="208"/>
      <c r="M41" s="213"/>
      <c r="N41" s="213"/>
      <c r="O41" s="213"/>
      <c r="P41" s="213"/>
      <c r="Q41" s="208"/>
      <c r="R41" s="208"/>
      <c r="S41" s="211"/>
      <c r="T41" s="208"/>
      <c r="U41" s="208"/>
      <c r="V41" s="211"/>
      <c r="W41" s="208"/>
      <c r="X41" s="208"/>
      <c r="Y41" s="213"/>
      <c r="Z41" s="213"/>
      <c r="AA41" s="213"/>
      <c r="AB41" s="208"/>
      <c r="AC41" s="209"/>
      <c r="AD41" s="217"/>
    </row>
    <row r="42" spans="1:30" s="188" customFormat="1" ht="13.2" customHeight="1" x14ac:dyDescent="0.25">
      <c r="A42" s="208"/>
      <c r="B42" s="211"/>
      <c r="C42" s="211"/>
      <c r="D42" s="208"/>
      <c r="E42" s="208"/>
      <c r="F42" s="208"/>
      <c r="G42" s="208"/>
      <c r="H42" s="208"/>
      <c r="I42" s="213"/>
      <c r="J42" s="213"/>
      <c r="K42" s="211"/>
      <c r="L42" s="208"/>
      <c r="M42" s="213"/>
      <c r="N42" s="213"/>
      <c r="O42" s="213"/>
      <c r="P42" s="213"/>
      <c r="Q42" s="208"/>
      <c r="R42" s="208"/>
      <c r="S42" s="211"/>
      <c r="T42" s="208"/>
      <c r="U42" s="208"/>
      <c r="V42" s="211"/>
      <c r="W42" s="208"/>
      <c r="X42" s="208"/>
      <c r="Y42" s="213"/>
      <c r="Z42" s="213"/>
      <c r="AA42" s="213"/>
      <c r="AB42" s="208"/>
      <c r="AC42" s="209"/>
      <c r="AD42" s="217"/>
    </row>
    <row r="43" spans="1:30" s="188" customFormat="1" ht="13.2" customHeight="1" x14ac:dyDescent="0.25">
      <c r="A43" s="208"/>
      <c r="B43" s="211"/>
      <c r="C43" s="211"/>
      <c r="D43" s="208"/>
      <c r="E43" s="208"/>
      <c r="F43" s="208"/>
      <c r="G43" s="208"/>
      <c r="H43" s="208"/>
      <c r="I43" s="213"/>
      <c r="J43" s="213"/>
      <c r="K43" s="211"/>
      <c r="L43" s="208"/>
      <c r="M43" s="213"/>
      <c r="N43" s="213"/>
      <c r="O43" s="213"/>
      <c r="P43" s="213"/>
      <c r="Q43" s="208"/>
      <c r="R43" s="208"/>
      <c r="S43" s="211"/>
      <c r="T43" s="208"/>
      <c r="U43" s="208"/>
      <c r="V43" s="211"/>
      <c r="W43" s="208"/>
      <c r="X43" s="208"/>
      <c r="Y43" s="213"/>
      <c r="Z43" s="213"/>
      <c r="AA43" s="213"/>
      <c r="AB43" s="208"/>
      <c r="AC43" s="209"/>
      <c r="AD43" s="217"/>
    </row>
    <row r="44" spans="1:30" s="188" customFormat="1" ht="13.2" customHeight="1" x14ac:dyDescent="0.25">
      <c r="A44" s="208"/>
      <c r="B44" s="211"/>
      <c r="C44" s="211"/>
      <c r="D44" s="208"/>
      <c r="E44" s="208"/>
      <c r="F44" s="208"/>
      <c r="G44" s="208"/>
      <c r="H44" s="208"/>
      <c r="I44" s="213"/>
      <c r="J44" s="213"/>
      <c r="K44" s="211"/>
      <c r="L44" s="208"/>
      <c r="M44" s="213"/>
      <c r="N44" s="213"/>
      <c r="O44" s="213"/>
      <c r="P44" s="213"/>
      <c r="Q44" s="208"/>
      <c r="R44" s="208"/>
      <c r="S44" s="211"/>
      <c r="T44" s="208"/>
      <c r="U44" s="208"/>
      <c r="V44" s="211"/>
      <c r="W44" s="208"/>
      <c r="X44" s="208"/>
      <c r="Y44" s="213"/>
      <c r="Z44" s="213"/>
      <c r="AA44" s="213"/>
      <c r="AB44" s="208"/>
      <c r="AC44" s="209"/>
      <c r="AD44" s="217"/>
    </row>
    <row r="45" spans="1:30" s="188" customFormat="1" ht="13.2" customHeight="1" x14ac:dyDescent="0.25">
      <c r="A45" s="208"/>
      <c r="B45" s="211"/>
      <c r="C45" s="211"/>
      <c r="D45" s="208"/>
      <c r="E45" s="208"/>
      <c r="F45" s="208"/>
      <c r="G45" s="208"/>
      <c r="H45" s="208"/>
      <c r="I45" s="213"/>
      <c r="J45" s="213"/>
      <c r="K45" s="211"/>
      <c r="L45" s="208"/>
      <c r="M45" s="213"/>
      <c r="N45" s="213"/>
      <c r="O45" s="213"/>
      <c r="P45" s="213"/>
      <c r="Q45" s="208"/>
      <c r="R45" s="208"/>
      <c r="S45" s="211"/>
      <c r="T45" s="208"/>
      <c r="U45" s="208"/>
      <c r="V45" s="211"/>
      <c r="W45" s="208"/>
      <c r="X45" s="208"/>
      <c r="Y45" s="213"/>
      <c r="Z45" s="213"/>
      <c r="AA45" s="213"/>
      <c r="AB45" s="208"/>
      <c r="AC45" s="209"/>
      <c r="AD45" s="217"/>
    </row>
    <row r="46" spans="1:30" s="188" customFormat="1" ht="13.2" customHeight="1" x14ac:dyDescent="0.25">
      <c r="A46" s="208"/>
      <c r="B46" s="211"/>
      <c r="C46" s="211"/>
      <c r="D46" s="208"/>
      <c r="E46" s="208"/>
      <c r="F46" s="208"/>
      <c r="G46" s="208"/>
      <c r="H46" s="208"/>
      <c r="I46" s="213"/>
      <c r="J46" s="213"/>
      <c r="K46" s="211"/>
      <c r="L46" s="208"/>
      <c r="M46" s="213"/>
      <c r="N46" s="213"/>
      <c r="O46" s="213"/>
      <c r="P46" s="213"/>
      <c r="Q46" s="208"/>
      <c r="R46" s="208"/>
      <c r="S46" s="211"/>
      <c r="T46" s="208"/>
      <c r="U46" s="208"/>
      <c r="V46" s="211"/>
      <c r="W46" s="208"/>
      <c r="X46" s="208"/>
      <c r="Y46" s="213"/>
      <c r="Z46" s="213"/>
      <c r="AA46" s="213"/>
      <c r="AB46" s="208"/>
      <c r="AC46" s="209"/>
      <c r="AD46" s="217"/>
    </row>
    <row r="47" spans="1:30" s="188" customFormat="1" ht="13.2" customHeight="1" x14ac:dyDescent="0.25">
      <c r="A47" s="208"/>
      <c r="B47" s="211"/>
      <c r="C47" s="211"/>
      <c r="D47" s="208"/>
      <c r="E47" s="208"/>
      <c r="F47" s="208"/>
      <c r="G47" s="208"/>
      <c r="H47" s="208"/>
      <c r="I47" s="213"/>
      <c r="J47" s="213"/>
      <c r="K47" s="211"/>
      <c r="L47" s="208"/>
      <c r="M47" s="213"/>
      <c r="N47" s="213"/>
      <c r="O47" s="213"/>
      <c r="P47" s="213"/>
      <c r="Q47" s="208"/>
      <c r="R47" s="208"/>
      <c r="S47" s="211"/>
      <c r="T47" s="208"/>
      <c r="U47" s="208"/>
      <c r="V47" s="211"/>
      <c r="W47" s="208"/>
      <c r="X47" s="208"/>
      <c r="Y47" s="213"/>
      <c r="Z47" s="213"/>
      <c r="AA47" s="213"/>
      <c r="AB47" s="208"/>
      <c r="AC47" s="209"/>
      <c r="AD47" s="217"/>
    </row>
    <row r="48" spans="1:30" s="188" customFormat="1" ht="13.2" customHeight="1" x14ac:dyDescent="0.25">
      <c r="A48" s="208"/>
      <c r="B48" s="211"/>
      <c r="C48" s="211"/>
      <c r="D48" s="208"/>
      <c r="E48" s="208"/>
      <c r="F48" s="208"/>
      <c r="G48" s="208"/>
      <c r="H48" s="208"/>
      <c r="I48" s="213"/>
      <c r="J48" s="213"/>
      <c r="K48" s="211"/>
      <c r="L48" s="208"/>
      <c r="M48" s="213"/>
      <c r="N48" s="213"/>
      <c r="O48" s="213"/>
      <c r="P48" s="213"/>
      <c r="Q48" s="208"/>
      <c r="R48" s="208"/>
      <c r="S48" s="211"/>
      <c r="T48" s="208"/>
      <c r="U48" s="208"/>
      <c r="V48" s="211"/>
      <c r="W48" s="208"/>
      <c r="X48" s="208"/>
      <c r="Y48" s="213"/>
      <c r="Z48" s="213"/>
      <c r="AA48" s="213"/>
      <c r="AB48" s="208"/>
      <c r="AC48" s="209"/>
      <c r="AD48" s="217"/>
    </row>
    <row r="49" spans="1:30" s="188" customFormat="1" ht="13.2" customHeight="1" x14ac:dyDescent="0.25">
      <c r="A49" s="208"/>
      <c r="B49" s="211"/>
      <c r="C49" s="211"/>
      <c r="D49" s="208"/>
      <c r="E49" s="208"/>
      <c r="F49" s="208"/>
      <c r="G49" s="208"/>
      <c r="H49" s="208"/>
      <c r="I49" s="213"/>
      <c r="J49" s="213"/>
      <c r="K49" s="211"/>
      <c r="L49" s="208"/>
      <c r="M49" s="213"/>
      <c r="N49" s="213"/>
      <c r="O49" s="213"/>
      <c r="P49" s="213"/>
      <c r="Q49" s="208"/>
      <c r="R49" s="208"/>
      <c r="S49" s="211"/>
      <c r="T49" s="208"/>
      <c r="U49" s="208"/>
      <c r="V49" s="211"/>
      <c r="W49" s="208"/>
      <c r="X49" s="208"/>
      <c r="Y49" s="213"/>
      <c r="Z49" s="213"/>
      <c r="AA49" s="213"/>
      <c r="AB49" s="208"/>
      <c r="AC49" s="209"/>
      <c r="AD49" s="217"/>
    </row>
    <row r="50" spans="1:30" s="188" customFormat="1" ht="13.2" customHeight="1" x14ac:dyDescent="0.25">
      <c r="A50" s="208"/>
      <c r="B50" s="211"/>
      <c r="C50" s="211"/>
      <c r="D50" s="208"/>
      <c r="E50" s="208"/>
      <c r="F50" s="208"/>
      <c r="G50" s="208"/>
      <c r="H50" s="208"/>
      <c r="I50" s="213"/>
      <c r="J50" s="213"/>
      <c r="K50" s="211"/>
      <c r="L50" s="208"/>
      <c r="M50" s="213"/>
      <c r="N50" s="213"/>
      <c r="O50" s="213"/>
      <c r="P50" s="213"/>
      <c r="Q50" s="208"/>
      <c r="R50" s="208"/>
      <c r="S50" s="211"/>
      <c r="T50" s="208"/>
      <c r="U50" s="208"/>
      <c r="V50" s="211"/>
      <c r="W50" s="208"/>
      <c r="X50" s="208"/>
      <c r="Y50" s="213"/>
      <c r="Z50" s="213"/>
      <c r="AA50" s="213"/>
      <c r="AB50" s="208"/>
      <c r="AC50" s="209"/>
      <c r="AD50" s="217"/>
    </row>
    <row r="51" spans="1:30" s="188" customFormat="1" ht="13.2" customHeight="1" x14ac:dyDescent="0.25">
      <c r="A51" s="208"/>
      <c r="B51" s="211"/>
      <c r="C51" s="211"/>
      <c r="D51" s="208"/>
      <c r="E51" s="208"/>
      <c r="F51" s="208"/>
      <c r="G51" s="208"/>
      <c r="H51" s="208"/>
      <c r="I51" s="213"/>
      <c r="J51" s="213"/>
      <c r="K51" s="211"/>
      <c r="L51" s="208"/>
      <c r="M51" s="213"/>
      <c r="N51" s="213"/>
      <c r="O51" s="213"/>
      <c r="P51" s="213"/>
      <c r="Q51" s="208"/>
      <c r="R51" s="208"/>
      <c r="S51" s="211"/>
      <c r="T51" s="208"/>
      <c r="U51" s="208"/>
      <c r="V51" s="211"/>
      <c r="W51" s="208"/>
      <c r="X51" s="208"/>
      <c r="Y51" s="213"/>
      <c r="Z51" s="213"/>
      <c r="AA51" s="213"/>
      <c r="AB51" s="208"/>
      <c r="AC51" s="209"/>
      <c r="AD51" s="217"/>
    </row>
    <row r="52" spans="1:30" s="188" customFormat="1" ht="13.2" customHeight="1" x14ac:dyDescent="0.25">
      <c r="A52" s="208"/>
      <c r="B52" s="211"/>
      <c r="C52" s="211"/>
      <c r="D52" s="208"/>
      <c r="E52" s="208"/>
      <c r="F52" s="208"/>
      <c r="G52" s="208"/>
      <c r="H52" s="208"/>
      <c r="I52" s="213"/>
      <c r="J52" s="213"/>
      <c r="K52" s="211"/>
      <c r="L52" s="208"/>
      <c r="M52" s="213"/>
      <c r="N52" s="213"/>
      <c r="O52" s="213"/>
      <c r="P52" s="213"/>
      <c r="Q52" s="208"/>
      <c r="R52" s="208"/>
      <c r="S52" s="211"/>
      <c r="T52" s="208"/>
      <c r="U52" s="208"/>
      <c r="V52" s="211"/>
      <c r="W52" s="208"/>
      <c r="X52" s="208"/>
      <c r="Y52" s="213"/>
      <c r="Z52" s="213"/>
      <c r="AA52" s="213"/>
      <c r="AB52" s="208"/>
      <c r="AC52" s="209"/>
      <c r="AD52" s="217"/>
    </row>
    <row r="53" spans="1:30" s="188" customFormat="1" ht="13.2" customHeight="1" x14ac:dyDescent="0.25">
      <c r="A53" s="208"/>
      <c r="B53" s="211"/>
      <c r="C53" s="211"/>
      <c r="D53" s="208"/>
      <c r="E53" s="208"/>
      <c r="F53" s="208"/>
      <c r="G53" s="208"/>
      <c r="H53" s="208"/>
      <c r="I53" s="213"/>
      <c r="J53" s="213"/>
      <c r="K53" s="211"/>
      <c r="L53" s="208"/>
      <c r="M53" s="213"/>
      <c r="N53" s="213"/>
      <c r="O53" s="213"/>
      <c r="P53" s="213"/>
      <c r="Q53" s="208"/>
      <c r="R53" s="208"/>
      <c r="S53" s="211"/>
      <c r="T53" s="208"/>
      <c r="U53" s="208"/>
      <c r="V53" s="211"/>
      <c r="W53" s="208"/>
      <c r="X53" s="208"/>
      <c r="Y53" s="213"/>
      <c r="Z53" s="213"/>
      <c r="AA53" s="213"/>
      <c r="AB53" s="208"/>
      <c r="AC53" s="209"/>
      <c r="AD53" s="217"/>
    </row>
    <row r="54" spans="1:30" s="188" customFormat="1" ht="13.2" customHeight="1" x14ac:dyDescent="0.25">
      <c r="A54" s="208"/>
      <c r="B54" s="211"/>
      <c r="C54" s="211"/>
      <c r="D54" s="208"/>
      <c r="E54" s="208"/>
      <c r="F54" s="208"/>
      <c r="G54" s="208"/>
      <c r="H54" s="208"/>
      <c r="I54" s="213"/>
      <c r="J54" s="213"/>
      <c r="K54" s="211"/>
      <c r="L54" s="208"/>
      <c r="M54" s="213"/>
      <c r="N54" s="213"/>
      <c r="O54" s="213"/>
      <c r="P54" s="213"/>
      <c r="Q54" s="208"/>
      <c r="R54" s="208"/>
      <c r="S54" s="211"/>
      <c r="T54" s="208"/>
      <c r="U54" s="208"/>
      <c r="V54" s="211"/>
      <c r="W54" s="208"/>
      <c r="X54" s="208"/>
      <c r="Y54" s="213"/>
      <c r="Z54" s="213"/>
      <c r="AA54" s="213"/>
      <c r="AB54" s="208"/>
      <c r="AC54" s="209"/>
      <c r="AD54" s="217"/>
    </row>
    <row r="55" spans="1:30" s="188" customFormat="1" ht="13.2" customHeight="1" x14ac:dyDescent="0.25">
      <c r="A55" s="208"/>
      <c r="B55" s="211"/>
      <c r="C55" s="211"/>
      <c r="D55" s="208"/>
      <c r="E55" s="208"/>
      <c r="F55" s="208"/>
      <c r="G55" s="208"/>
      <c r="H55" s="208"/>
      <c r="I55" s="213"/>
      <c r="J55" s="213"/>
      <c r="K55" s="211"/>
      <c r="L55" s="208"/>
      <c r="M55" s="213"/>
      <c r="N55" s="213"/>
      <c r="O55" s="213"/>
      <c r="P55" s="213"/>
      <c r="Q55" s="208"/>
      <c r="R55" s="208"/>
      <c r="S55" s="211"/>
      <c r="T55" s="208"/>
      <c r="U55" s="208"/>
      <c r="V55" s="211"/>
      <c r="W55" s="208"/>
      <c r="X55" s="208"/>
      <c r="Y55" s="213"/>
      <c r="Z55" s="213"/>
      <c r="AA55" s="213"/>
      <c r="AB55" s="208"/>
      <c r="AC55" s="209"/>
      <c r="AD55" s="217"/>
    </row>
    <row r="56" spans="1:30" s="188" customFormat="1" ht="13.2" customHeight="1" x14ac:dyDescent="0.25">
      <c r="A56" s="208"/>
      <c r="B56" s="211"/>
      <c r="C56" s="211"/>
      <c r="D56" s="208"/>
      <c r="E56" s="208"/>
      <c r="F56" s="208"/>
      <c r="G56" s="208"/>
      <c r="H56" s="208"/>
      <c r="I56" s="213"/>
      <c r="J56" s="213"/>
      <c r="K56" s="211"/>
      <c r="L56" s="208"/>
      <c r="M56" s="213"/>
      <c r="N56" s="213"/>
      <c r="O56" s="213"/>
      <c r="P56" s="213"/>
      <c r="Q56" s="208"/>
      <c r="R56" s="208"/>
      <c r="S56" s="211"/>
      <c r="T56" s="208"/>
      <c r="U56" s="208"/>
      <c r="V56" s="211"/>
      <c r="W56" s="208"/>
      <c r="X56" s="208"/>
      <c r="Y56" s="213"/>
      <c r="Z56" s="213"/>
      <c r="AA56" s="213"/>
      <c r="AB56" s="208"/>
      <c r="AC56" s="209"/>
      <c r="AD56" s="217"/>
    </row>
    <row r="57" spans="1:30" s="188" customFormat="1" ht="13.2" customHeight="1" x14ac:dyDescent="0.25">
      <c r="A57" s="208"/>
      <c r="B57" s="211"/>
      <c r="C57" s="211"/>
      <c r="D57" s="208"/>
      <c r="E57" s="208"/>
      <c r="F57" s="208"/>
      <c r="G57" s="208"/>
      <c r="H57" s="208"/>
      <c r="I57" s="213"/>
      <c r="J57" s="213"/>
      <c r="K57" s="211"/>
      <c r="L57" s="208"/>
      <c r="M57" s="213"/>
      <c r="N57" s="213"/>
      <c r="O57" s="213"/>
      <c r="P57" s="213"/>
      <c r="Q57" s="208"/>
      <c r="R57" s="208"/>
      <c r="S57" s="211"/>
      <c r="T57" s="208"/>
      <c r="U57" s="208"/>
      <c r="V57" s="211"/>
      <c r="W57" s="208"/>
      <c r="X57" s="208"/>
      <c r="Y57" s="213"/>
      <c r="Z57" s="213"/>
      <c r="AA57" s="213"/>
      <c r="AB57" s="208"/>
      <c r="AC57" s="209"/>
      <c r="AD57" s="217"/>
    </row>
    <row r="58" spans="1:30" s="188" customFormat="1" ht="13.2" customHeight="1" x14ac:dyDescent="0.25">
      <c r="A58" s="208"/>
      <c r="B58" s="211"/>
      <c r="C58" s="211"/>
      <c r="D58" s="208"/>
      <c r="E58" s="208"/>
      <c r="F58" s="208"/>
      <c r="G58" s="208"/>
      <c r="H58" s="208"/>
      <c r="I58" s="213"/>
      <c r="J58" s="213"/>
      <c r="K58" s="211"/>
      <c r="L58" s="208"/>
      <c r="M58" s="213"/>
      <c r="N58" s="213"/>
      <c r="O58" s="213"/>
      <c r="P58" s="213"/>
      <c r="Q58" s="208"/>
      <c r="R58" s="208"/>
      <c r="S58" s="211"/>
      <c r="T58" s="208"/>
      <c r="U58" s="208"/>
      <c r="V58" s="211"/>
      <c r="W58" s="208"/>
      <c r="X58" s="208"/>
      <c r="Y58" s="213"/>
      <c r="Z58" s="213"/>
      <c r="AA58" s="213"/>
      <c r="AB58" s="208"/>
      <c r="AC58" s="209"/>
      <c r="AD58" s="217"/>
    </row>
    <row r="59" spans="1:30" s="188" customFormat="1" ht="13.2" customHeight="1" x14ac:dyDescent="0.25">
      <c r="A59" s="208"/>
      <c r="B59" s="211"/>
      <c r="C59" s="211"/>
      <c r="D59" s="208"/>
      <c r="E59" s="208"/>
      <c r="F59" s="208"/>
      <c r="G59" s="208"/>
      <c r="H59" s="208"/>
      <c r="I59" s="213"/>
      <c r="J59" s="213"/>
      <c r="K59" s="211"/>
      <c r="L59" s="208"/>
      <c r="M59" s="213"/>
      <c r="N59" s="213"/>
      <c r="O59" s="213"/>
      <c r="P59" s="213"/>
      <c r="Q59" s="208"/>
      <c r="R59" s="208"/>
      <c r="S59" s="211"/>
      <c r="T59" s="208"/>
      <c r="U59" s="208"/>
      <c r="V59" s="211"/>
      <c r="W59" s="208"/>
      <c r="X59" s="208"/>
      <c r="Y59" s="213"/>
      <c r="Z59" s="213"/>
      <c r="AA59" s="213"/>
      <c r="AB59" s="208"/>
      <c r="AC59" s="209"/>
      <c r="AD59" s="217"/>
    </row>
    <row r="60" spans="1:30" s="188" customFormat="1" ht="13.2" customHeight="1" x14ac:dyDescent="0.25">
      <c r="A60" s="208"/>
      <c r="B60" s="211"/>
      <c r="C60" s="211"/>
      <c r="D60" s="208"/>
      <c r="E60" s="208"/>
      <c r="F60" s="208"/>
      <c r="G60" s="208"/>
      <c r="H60" s="208"/>
      <c r="I60" s="213"/>
      <c r="J60" s="213"/>
      <c r="K60" s="211"/>
      <c r="L60" s="208"/>
      <c r="M60" s="213"/>
      <c r="N60" s="213"/>
      <c r="O60" s="213"/>
      <c r="P60" s="213"/>
      <c r="Q60" s="208"/>
      <c r="R60" s="208"/>
      <c r="S60" s="211"/>
      <c r="T60" s="208"/>
      <c r="U60" s="208"/>
      <c r="V60" s="211"/>
      <c r="W60" s="208"/>
      <c r="X60" s="208"/>
      <c r="Y60" s="213"/>
      <c r="Z60" s="213"/>
      <c r="AA60" s="213"/>
      <c r="AB60" s="208"/>
      <c r="AC60" s="209"/>
      <c r="AD60" s="217"/>
    </row>
    <row r="61" spans="1:30" s="188" customFormat="1" ht="13.2" customHeight="1" x14ac:dyDescent="0.25">
      <c r="A61" s="208"/>
      <c r="B61" s="211"/>
      <c r="C61" s="211"/>
      <c r="D61" s="208"/>
      <c r="E61" s="208"/>
      <c r="F61" s="208"/>
      <c r="G61" s="208"/>
      <c r="H61" s="208"/>
      <c r="I61" s="213"/>
      <c r="J61" s="213"/>
      <c r="K61" s="211"/>
      <c r="L61" s="208"/>
      <c r="M61" s="213"/>
      <c r="N61" s="213"/>
      <c r="O61" s="213"/>
      <c r="P61" s="213"/>
      <c r="Q61" s="208"/>
      <c r="R61" s="208"/>
      <c r="S61" s="211"/>
      <c r="T61" s="208"/>
      <c r="U61" s="208"/>
      <c r="V61" s="211"/>
      <c r="W61" s="208"/>
      <c r="X61" s="208"/>
      <c r="Y61" s="213"/>
      <c r="Z61" s="213"/>
      <c r="AA61" s="213"/>
      <c r="AB61" s="208"/>
      <c r="AC61" s="209"/>
      <c r="AD61" s="217"/>
    </row>
    <row r="62" spans="1:30" s="188" customFormat="1" ht="13.2" customHeight="1" x14ac:dyDescent="0.25">
      <c r="A62" s="208"/>
      <c r="B62" s="211"/>
      <c r="C62" s="211"/>
      <c r="D62" s="208"/>
      <c r="E62" s="208"/>
      <c r="F62" s="208"/>
      <c r="G62" s="208"/>
      <c r="H62" s="208"/>
      <c r="I62" s="213"/>
      <c r="J62" s="213"/>
      <c r="K62" s="211"/>
      <c r="L62" s="208"/>
      <c r="M62" s="213"/>
      <c r="N62" s="213"/>
      <c r="O62" s="213"/>
      <c r="P62" s="213"/>
      <c r="Q62" s="208"/>
      <c r="R62" s="208"/>
      <c r="S62" s="211"/>
      <c r="T62" s="208"/>
      <c r="U62" s="208"/>
      <c r="V62" s="211"/>
      <c r="W62" s="208"/>
      <c r="X62" s="208"/>
      <c r="Y62" s="213"/>
      <c r="Z62" s="213"/>
      <c r="AA62" s="213"/>
      <c r="AB62" s="208"/>
      <c r="AC62" s="209"/>
      <c r="AD62" s="217"/>
    </row>
    <row r="63" spans="1:30" s="188" customFormat="1" ht="13.2" customHeight="1" x14ac:dyDescent="0.25">
      <c r="A63" s="208"/>
      <c r="B63" s="211"/>
      <c r="C63" s="211"/>
      <c r="D63" s="208"/>
      <c r="E63" s="208"/>
      <c r="F63" s="208"/>
      <c r="G63" s="208"/>
      <c r="H63" s="208"/>
      <c r="I63" s="213"/>
      <c r="J63" s="213"/>
      <c r="K63" s="211"/>
      <c r="L63" s="208"/>
      <c r="M63" s="213"/>
      <c r="N63" s="213"/>
      <c r="O63" s="213"/>
      <c r="P63" s="213"/>
      <c r="Q63" s="208"/>
      <c r="R63" s="208"/>
      <c r="S63" s="211"/>
      <c r="T63" s="208"/>
      <c r="U63" s="208"/>
      <c r="V63" s="211"/>
      <c r="W63" s="208"/>
      <c r="X63" s="208"/>
      <c r="Y63" s="213"/>
      <c r="Z63" s="213"/>
      <c r="AA63" s="213"/>
      <c r="AB63" s="208"/>
      <c r="AC63" s="209"/>
      <c r="AD63" s="217"/>
    </row>
    <row r="64" spans="1:30" s="188" customFormat="1" ht="13.2" customHeight="1" x14ac:dyDescent="0.25">
      <c r="A64" s="208"/>
      <c r="B64" s="211"/>
      <c r="C64" s="211"/>
      <c r="D64" s="208"/>
      <c r="E64" s="208"/>
      <c r="F64" s="208"/>
      <c r="G64" s="208"/>
      <c r="H64" s="208"/>
      <c r="I64" s="213"/>
      <c r="J64" s="213"/>
      <c r="K64" s="211"/>
      <c r="L64" s="208"/>
      <c r="M64" s="213"/>
      <c r="N64" s="213"/>
      <c r="O64" s="213"/>
      <c r="P64" s="213"/>
      <c r="Q64" s="208"/>
      <c r="R64" s="208"/>
      <c r="S64" s="211"/>
      <c r="T64" s="208"/>
      <c r="U64" s="208"/>
      <c r="V64" s="211"/>
      <c r="W64" s="208"/>
      <c r="X64" s="208"/>
      <c r="Y64" s="213"/>
      <c r="Z64" s="213"/>
      <c r="AA64" s="213"/>
      <c r="AB64" s="208"/>
      <c r="AC64" s="209"/>
      <c r="AD64" s="217"/>
    </row>
    <row r="65" spans="1:30" s="188" customFormat="1" ht="13.2" customHeight="1" x14ac:dyDescent="0.25">
      <c r="A65" s="208"/>
      <c r="B65" s="211"/>
      <c r="C65" s="211"/>
      <c r="D65" s="208"/>
      <c r="E65" s="208"/>
      <c r="F65" s="208"/>
      <c r="G65" s="208"/>
      <c r="H65" s="208"/>
      <c r="I65" s="213"/>
      <c r="J65" s="213"/>
      <c r="K65" s="211"/>
      <c r="L65" s="208"/>
      <c r="M65" s="213"/>
      <c r="N65" s="213"/>
      <c r="O65" s="213"/>
      <c r="P65" s="213"/>
      <c r="Q65" s="208"/>
      <c r="R65" s="208"/>
      <c r="S65" s="211"/>
      <c r="T65" s="208"/>
      <c r="U65" s="208"/>
      <c r="V65" s="211"/>
      <c r="W65" s="208"/>
      <c r="X65" s="208"/>
      <c r="Y65" s="213"/>
      <c r="Z65" s="213"/>
      <c r="AA65" s="213"/>
      <c r="AB65" s="208"/>
      <c r="AC65" s="209"/>
      <c r="AD65" s="217"/>
    </row>
    <row r="66" spans="1:30" s="188" customFormat="1" ht="13.2" customHeight="1" x14ac:dyDescent="0.25">
      <c r="A66" s="208"/>
      <c r="B66" s="211"/>
      <c r="C66" s="211"/>
      <c r="D66" s="208"/>
      <c r="E66" s="208"/>
      <c r="F66" s="208"/>
      <c r="G66" s="208"/>
      <c r="H66" s="208"/>
      <c r="I66" s="213"/>
      <c r="J66" s="213"/>
      <c r="K66" s="211"/>
      <c r="L66" s="208"/>
      <c r="M66" s="213"/>
      <c r="N66" s="213"/>
      <c r="O66" s="213"/>
      <c r="P66" s="213"/>
      <c r="Q66" s="208"/>
      <c r="R66" s="208"/>
      <c r="S66" s="211"/>
      <c r="T66" s="208"/>
      <c r="U66" s="208"/>
      <c r="V66" s="211"/>
      <c r="W66" s="208"/>
      <c r="X66" s="208"/>
      <c r="Y66" s="213"/>
      <c r="Z66" s="213"/>
      <c r="AA66" s="213"/>
      <c r="AB66" s="208"/>
      <c r="AC66" s="209"/>
      <c r="AD66" s="217"/>
    </row>
    <row r="67" spans="1:30" s="188" customFormat="1" ht="13.2" customHeight="1" x14ac:dyDescent="0.25">
      <c r="A67" s="208"/>
      <c r="B67" s="211"/>
      <c r="C67" s="211"/>
      <c r="D67" s="208"/>
      <c r="E67" s="208"/>
      <c r="F67" s="208"/>
      <c r="G67" s="208"/>
      <c r="H67" s="208"/>
      <c r="I67" s="213"/>
      <c r="J67" s="213"/>
      <c r="K67" s="211"/>
      <c r="L67" s="208"/>
      <c r="M67" s="213"/>
      <c r="N67" s="213"/>
      <c r="O67" s="213"/>
      <c r="P67" s="213"/>
      <c r="Q67" s="208"/>
      <c r="R67" s="208"/>
      <c r="S67" s="211"/>
      <c r="T67" s="208"/>
      <c r="U67" s="208"/>
      <c r="V67" s="211"/>
      <c r="W67" s="208"/>
      <c r="X67" s="208"/>
      <c r="Y67" s="213"/>
      <c r="Z67" s="213"/>
      <c r="AA67" s="213"/>
      <c r="AB67" s="208"/>
      <c r="AC67" s="209"/>
      <c r="AD67" s="217"/>
    </row>
    <row r="68" spans="1:30" s="188" customFormat="1" ht="13.2" customHeight="1" x14ac:dyDescent="0.25">
      <c r="A68" s="208"/>
      <c r="B68" s="211"/>
      <c r="C68" s="211"/>
      <c r="D68" s="208"/>
      <c r="E68" s="208"/>
      <c r="F68" s="208"/>
      <c r="G68" s="208"/>
      <c r="H68" s="208"/>
      <c r="I68" s="213"/>
      <c r="J68" s="213"/>
      <c r="K68" s="211"/>
      <c r="L68" s="208"/>
      <c r="M68" s="213"/>
      <c r="N68" s="213"/>
      <c r="O68" s="213"/>
      <c r="P68" s="213"/>
      <c r="Q68" s="208"/>
      <c r="R68" s="208"/>
      <c r="S68" s="211"/>
      <c r="T68" s="208"/>
      <c r="U68" s="208"/>
      <c r="V68" s="211"/>
      <c r="W68" s="208"/>
      <c r="X68" s="208"/>
      <c r="Y68" s="213"/>
      <c r="Z68" s="213"/>
      <c r="AA68" s="213"/>
      <c r="AB68" s="208"/>
      <c r="AC68" s="209"/>
      <c r="AD68" s="217"/>
    </row>
    <row r="69" spans="1:30" s="188" customFormat="1" ht="13.2" customHeight="1" x14ac:dyDescent="0.25">
      <c r="A69" s="208"/>
      <c r="B69" s="211"/>
      <c r="C69" s="211"/>
      <c r="D69" s="208"/>
      <c r="E69" s="208"/>
      <c r="F69" s="208"/>
      <c r="G69" s="208"/>
      <c r="H69" s="208"/>
      <c r="I69" s="213"/>
      <c r="J69" s="213"/>
      <c r="K69" s="211"/>
      <c r="L69" s="208"/>
      <c r="M69" s="213"/>
      <c r="N69" s="213"/>
      <c r="O69" s="213"/>
      <c r="P69" s="213"/>
      <c r="Q69" s="208"/>
      <c r="R69" s="208"/>
      <c r="S69" s="211"/>
      <c r="T69" s="208"/>
      <c r="U69" s="208"/>
      <c r="V69" s="211"/>
      <c r="W69" s="208"/>
      <c r="X69" s="208"/>
      <c r="Y69" s="213"/>
      <c r="Z69" s="213"/>
      <c r="AA69" s="213"/>
      <c r="AB69" s="208"/>
      <c r="AC69" s="209"/>
      <c r="AD69" s="217"/>
    </row>
    <row r="70" spans="1:30" s="188" customFormat="1" ht="13.2" customHeight="1" x14ac:dyDescent="0.25">
      <c r="A70" s="208"/>
      <c r="B70" s="211"/>
      <c r="C70" s="211"/>
      <c r="D70" s="208"/>
      <c r="E70" s="208"/>
      <c r="F70" s="208"/>
      <c r="G70" s="208"/>
      <c r="H70" s="208"/>
      <c r="I70" s="213"/>
      <c r="J70" s="213"/>
      <c r="K70" s="211"/>
      <c r="L70" s="208"/>
      <c r="M70" s="213"/>
      <c r="N70" s="213"/>
      <c r="O70" s="213"/>
      <c r="P70" s="213"/>
      <c r="Q70" s="208"/>
      <c r="R70" s="208"/>
      <c r="S70" s="211"/>
      <c r="T70" s="208"/>
      <c r="U70" s="208"/>
      <c r="V70" s="211"/>
      <c r="W70" s="208"/>
      <c r="X70" s="208"/>
      <c r="Y70" s="213"/>
      <c r="Z70" s="213"/>
      <c r="AA70" s="213"/>
      <c r="AB70" s="208"/>
      <c r="AC70" s="209"/>
      <c r="AD70" s="217"/>
    </row>
    <row r="71" spans="1:30" s="188" customFormat="1" ht="13.2" customHeight="1" x14ac:dyDescent="0.25">
      <c r="A71" s="208"/>
      <c r="B71" s="211"/>
      <c r="C71" s="211"/>
      <c r="D71" s="208"/>
      <c r="E71" s="208"/>
      <c r="F71" s="208"/>
      <c r="G71" s="208"/>
      <c r="H71" s="208"/>
      <c r="I71" s="213"/>
      <c r="J71" s="213"/>
      <c r="K71" s="211"/>
      <c r="L71" s="208"/>
      <c r="M71" s="213"/>
      <c r="N71" s="213"/>
      <c r="O71" s="213"/>
      <c r="P71" s="213"/>
      <c r="Q71" s="208"/>
      <c r="R71" s="208"/>
      <c r="S71" s="211"/>
      <c r="T71" s="208"/>
      <c r="U71" s="208"/>
      <c r="V71" s="211"/>
      <c r="W71" s="208"/>
      <c r="X71" s="208"/>
      <c r="Y71" s="213"/>
      <c r="Z71" s="213"/>
      <c r="AA71" s="213"/>
      <c r="AB71" s="208"/>
      <c r="AC71" s="209"/>
      <c r="AD71" s="217"/>
    </row>
    <row r="72" spans="1:30" s="188" customFormat="1" ht="13.2" customHeight="1" x14ac:dyDescent="0.25">
      <c r="A72" s="208"/>
      <c r="B72" s="211"/>
      <c r="C72" s="211"/>
      <c r="D72" s="208"/>
      <c r="E72" s="208"/>
      <c r="F72" s="208"/>
      <c r="G72" s="208"/>
      <c r="H72" s="208"/>
      <c r="I72" s="213"/>
      <c r="J72" s="213"/>
      <c r="K72" s="211"/>
      <c r="L72" s="208"/>
      <c r="M72" s="213"/>
      <c r="N72" s="213"/>
      <c r="O72" s="213"/>
      <c r="P72" s="213"/>
      <c r="Q72" s="208"/>
      <c r="R72" s="208"/>
      <c r="S72" s="211"/>
      <c r="T72" s="208"/>
      <c r="U72" s="208"/>
      <c r="V72" s="211"/>
      <c r="W72" s="208"/>
      <c r="X72" s="208"/>
      <c r="Y72" s="213"/>
      <c r="Z72" s="213"/>
      <c r="AA72" s="213"/>
      <c r="AB72" s="208"/>
      <c r="AC72" s="209"/>
      <c r="AD72" s="217"/>
    </row>
    <row r="73" spans="1:30" s="188" customFormat="1" ht="13.2" customHeight="1" x14ac:dyDescent="0.25">
      <c r="A73" s="208"/>
      <c r="B73" s="211"/>
      <c r="C73" s="211"/>
      <c r="D73" s="208"/>
      <c r="E73" s="208"/>
      <c r="F73" s="208"/>
      <c r="G73" s="208"/>
      <c r="H73" s="208"/>
      <c r="I73" s="213"/>
      <c r="J73" s="213"/>
      <c r="K73" s="211"/>
      <c r="L73" s="208"/>
      <c r="M73" s="213"/>
      <c r="N73" s="213"/>
      <c r="O73" s="213"/>
      <c r="P73" s="213"/>
      <c r="Q73" s="208"/>
      <c r="R73" s="208"/>
      <c r="S73" s="211"/>
      <c r="T73" s="208"/>
      <c r="U73" s="208"/>
      <c r="V73" s="211"/>
      <c r="W73" s="208"/>
      <c r="X73" s="208"/>
      <c r="Y73" s="213"/>
      <c r="Z73" s="213"/>
      <c r="AA73" s="213"/>
      <c r="AB73" s="208"/>
      <c r="AC73" s="209"/>
      <c r="AD73" s="217"/>
    </row>
    <row r="74" spans="1:30" s="188" customFormat="1" ht="13.2" customHeight="1" x14ac:dyDescent="0.25">
      <c r="A74" s="208"/>
      <c r="B74" s="211"/>
      <c r="C74" s="211"/>
      <c r="D74" s="208"/>
      <c r="E74" s="208"/>
      <c r="F74" s="208"/>
      <c r="G74" s="208"/>
      <c r="H74" s="208"/>
      <c r="I74" s="213"/>
      <c r="J74" s="213"/>
      <c r="K74" s="211"/>
      <c r="L74" s="208"/>
      <c r="M74" s="213"/>
      <c r="N74" s="213"/>
      <c r="O74" s="213"/>
      <c r="P74" s="213"/>
      <c r="Q74" s="208"/>
      <c r="R74" s="208"/>
      <c r="S74" s="211"/>
      <c r="T74" s="208"/>
      <c r="U74" s="208"/>
      <c r="V74" s="211"/>
      <c r="W74" s="208"/>
      <c r="X74" s="208"/>
      <c r="Y74" s="213"/>
      <c r="Z74" s="213"/>
      <c r="AA74" s="213"/>
      <c r="AB74" s="208"/>
      <c r="AC74" s="209"/>
      <c r="AD74" s="217"/>
    </row>
    <row r="75" spans="1:30" s="188" customFormat="1" ht="13.2" customHeight="1" x14ac:dyDescent="0.25">
      <c r="A75" s="208"/>
      <c r="B75" s="211"/>
      <c r="C75" s="211"/>
      <c r="D75" s="208"/>
      <c r="E75" s="208"/>
      <c r="F75" s="208"/>
      <c r="G75" s="208"/>
      <c r="H75" s="208"/>
      <c r="I75" s="213"/>
      <c r="J75" s="213"/>
      <c r="K75" s="211"/>
      <c r="L75" s="208"/>
      <c r="M75" s="213"/>
      <c r="N75" s="213"/>
      <c r="O75" s="213"/>
      <c r="P75" s="213"/>
      <c r="Q75" s="208"/>
      <c r="R75" s="208"/>
      <c r="S75" s="211"/>
      <c r="T75" s="208"/>
      <c r="U75" s="208"/>
      <c r="V75" s="211"/>
      <c r="W75" s="208"/>
      <c r="X75" s="208"/>
      <c r="Y75" s="213"/>
      <c r="Z75" s="213"/>
      <c r="AA75" s="213"/>
      <c r="AB75" s="208"/>
      <c r="AC75" s="209"/>
      <c r="AD75" s="217"/>
    </row>
    <row r="76" spans="1:30" s="188" customFormat="1" ht="13.2" customHeight="1" x14ac:dyDescent="0.25">
      <c r="A76" s="208"/>
      <c r="B76" s="211"/>
      <c r="C76" s="211"/>
      <c r="D76" s="208"/>
      <c r="E76" s="208"/>
      <c r="F76" s="208"/>
      <c r="G76" s="208"/>
      <c r="H76" s="208"/>
      <c r="I76" s="213"/>
      <c r="J76" s="213"/>
      <c r="K76" s="211"/>
      <c r="L76" s="208"/>
      <c r="M76" s="213"/>
      <c r="N76" s="213"/>
      <c r="O76" s="213"/>
      <c r="P76" s="213"/>
      <c r="Q76" s="208"/>
      <c r="R76" s="208"/>
      <c r="S76" s="211"/>
      <c r="T76" s="208"/>
      <c r="U76" s="208"/>
      <c r="V76" s="211"/>
      <c r="W76" s="208"/>
      <c r="X76" s="208"/>
      <c r="Y76" s="213"/>
      <c r="Z76" s="213"/>
      <c r="AA76" s="213"/>
      <c r="AB76" s="208"/>
      <c r="AC76" s="209"/>
      <c r="AD76" s="217"/>
    </row>
    <row r="77" spans="1:30" s="188" customFormat="1" ht="13.2" customHeight="1" x14ac:dyDescent="0.25">
      <c r="A77" s="208"/>
      <c r="B77" s="211"/>
      <c r="C77" s="211"/>
      <c r="D77" s="208"/>
      <c r="E77" s="208"/>
      <c r="F77" s="208"/>
      <c r="G77" s="208"/>
      <c r="H77" s="208"/>
      <c r="I77" s="213"/>
      <c r="J77" s="213"/>
      <c r="K77" s="211"/>
      <c r="L77" s="208"/>
      <c r="M77" s="213"/>
      <c r="N77" s="213"/>
      <c r="O77" s="213"/>
      <c r="P77" s="213"/>
      <c r="Q77" s="208"/>
      <c r="R77" s="208"/>
      <c r="S77" s="211"/>
      <c r="T77" s="208"/>
      <c r="U77" s="208"/>
      <c r="V77" s="211"/>
      <c r="W77" s="208"/>
      <c r="X77" s="208"/>
      <c r="Y77" s="213"/>
      <c r="Z77" s="213"/>
      <c r="AA77" s="213"/>
      <c r="AB77" s="208"/>
      <c r="AC77" s="209"/>
      <c r="AD77" s="217"/>
    </row>
    <row r="78" spans="1:30" s="188" customFormat="1" ht="13.2" customHeight="1" x14ac:dyDescent="0.25">
      <c r="A78" s="208"/>
      <c r="B78" s="211"/>
      <c r="C78" s="211"/>
      <c r="D78" s="208"/>
      <c r="E78" s="208"/>
      <c r="F78" s="208"/>
      <c r="G78" s="208"/>
      <c r="H78" s="208"/>
      <c r="I78" s="213"/>
      <c r="J78" s="213"/>
      <c r="K78" s="211"/>
      <c r="L78" s="208"/>
      <c r="M78" s="213"/>
      <c r="N78" s="213"/>
      <c r="O78" s="213"/>
      <c r="P78" s="213"/>
      <c r="Q78" s="208"/>
      <c r="R78" s="208"/>
      <c r="S78" s="211"/>
      <c r="T78" s="208"/>
      <c r="U78" s="208"/>
      <c r="V78" s="211"/>
      <c r="W78" s="208"/>
      <c r="X78" s="208"/>
      <c r="Y78" s="213"/>
      <c r="Z78" s="213"/>
      <c r="AA78" s="213"/>
      <c r="AB78" s="208"/>
      <c r="AC78" s="209"/>
      <c r="AD78" s="217"/>
    </row>
    <row r="79" spans="1:30" s="188" customFormat="1" ht="13.2" customHeight="1" x14ac:dyDescent="0.25">
      <c r="A79" s="208"/>
      <c r="B79" s="211"/>
      <c r="C79" s="211"/>
      <c r="D79" s="208"/>
      <c r="E79" s="208"/>
      <c r="F79" s="208"/>
      <c r="G79" s="208"/>
      <c r="H79" s="208"/>
      <c r="I79" s="213"/>
      <c r="J79" s="213"/>
      <c r="K79" s="211"/>
      <c r="L79" s="208"/>
      <c r="M79" s="213"/>
      <c r="N79" s="213"/>
      <c r="O79" s="213"/>
      <c r="P79" s="213"/>
      <c r="Q79" s="208"/>
      <c r="R79" s="208"/>
      <c r="S79" s="211"/>
      <c r="T79" s="208"/>
      <c r="U79" s="208"/>
      <c r="V79" s="211"/>
      <c r="W79" s="208"/>
      <c r="X79" s="208"/>
      <c r="Y79" s="213"/>
      <c r="Z79" s="213"/>
      <c r="AA79" s="213"/>
      <c r="AB79" s="208"/>
      <c r="AC79" s="209"/>
      <c r="AD79" s="217"/>
    </row>
    <row r="80" spans="1:30" s="188" customFormat="1" ht="13.2" customHeight="1" x14ac:dyDescent="0.25">
      <c r="A80" s="208"/>
      <c r="B80" s="211"/>
      <c r="C80" s="211"/>
      <c r="D80" s="208"/>
      <c r="E80" s="208"/>
      <c r="F80" s="208"/>
      <c r="G80" s="208"/>
      <c r="H80" s="208"/>
      <c r="I80" s="213"/>
      <c r="J80" s="213"/>
      <c r="K80" s="211"/>
      <c r="L80" s="208"/>
      <c r="M80" s="213"/>
      <c r="N80" s="213"/>
      <c r="O80" s="213"/>
      <c r="P80" s="213"/>
      <c r="Q80" s="208"/>
      <c r="R80" s="208"/>
      <c r="S80" s="211"/>
      <c r="T80" s="208"/>
      <c r="U80" s="208"/>
      <c r="V80" s="211"/>
      <c r="W80" s="208"/>
      <c r="X80" s="208"/>
      <c r="Y80" s="213"/>
      <c r="Z80" s="213"/>
      <c r="AA80" s="213"/>
      <c r="AB80" s="208"/>
      <c r="AC80" s="209"/>
      <c r="AD80" s="217"/>
    </row>
    <row r="81" spans="1:30" s="188" customFormat="1" ht="13.2" customHeight="1" x14ac:dyDescent="0.25">
      <c r="A81" s="208"/>
      <c r="B81" s="211"/>
      <c r="C81" s="211"/>
      <c r="D81" s="208"/>
      <c r="E81" s="208"/>
      <c r="F81" s="208"/>
      <c r="G81" s="208"/>
      <c r="H81" s="208"/>
      <c r="I81" s="213"/>
      <c r="J81" s="213"/>
      <c r="K81" s="211"/>
      <c r="L81" s="208"/>
      <c r="M81" s="213"/>
      <c r="N81" s="213"/>
      <c r="O81" s="213"/>
      <c r="P81" s="213"/>
      <c r="Q81" s="208"/>
      <c r="R81" s="208"/>
      <c r="S81" s="211"/>
      <c r="T81" s="208"/>
      <c r="U81" s="208"/>
      <c r="V81" s="211"/>
      <c r="W81" s="208"/>
      <c r="X81" s="208"/>
      <c r="Y81" s="213"/>
      <c r="Z81" s="213"/>
      <c r="AA81" s="213"/>
      <c r="AB81" s="208"/>
      <c r="AC81" s="209"/>
      <c r="AD81" s="217"/>
    </row>
    <row r="82" spans="1:30" s="188" customFormat="1" ht="13.2" customHeight="1" x14ac:dyDescent="0.25">
      <c r="A82" s="208"/>
      <c r="B82" s="211"/>
      <c r="C82" s="211"/>
      <c r="D82" s="208"/>
      <c r="E82" s="208"/>
      <c r="F82" s="208"/>
      <c r="G82" s="208"/>
      <c r="H82" s="208"/>
      <c r="I82" s="213"/>
      <c r="J82" s="213"/>
      <c r="K82" s="211"/>
      <c r="L82" s="208"/>
      <c r="M82" s="213"/>
      <c r="N82" s="213"/>
      <c r="O82" s="213"/>
      <c r="P82" s="213"/>
      <c r="Q82" s="208"/>
      <c r="R82" s="208"/>
      <c r="S82" s="211"/>
      <c r="T82" s="208"/>
      <c r="U82" s="208"/>
      <c r="V82" s="211"/>
      <c r="W82" s="208"/>
      <c r="X82" s="208"/>
      <c r="Y82" s="213"/>
      <c r="Z82" s="213"/>
      <c r="AA82" s="213"/>
      <c r="AB82" s="208"/>
      <c r="AC82" s="209"/>
      <c r="AD82" s="217"/>
    </row>
    <row r="83" spans="1:30" s="188" customFormat="1" ht="13.2" customHeight="1" x14ac:dyDescent="0.25">
      <c r="A83" s="208"/>
      <c r="B83" s="211"/>
      <c r="C83" s="211"/>
      <c r="D83" s="208"/>
      <c r="E83" s="208"/>
      <c r="F83" s="208"/>
      <c r="G83" s="208"/>
      <c r="H83" s="208"/>
      <c r="I83" s="213"/>
      <c r="J83" s="213"/>
      <c r="K83" s="211"/>
      <c r="L83" s="208"/>
      <c r="M83" s="213"/>
      <c r="N83" s="213"/>
      <c r="O83" s="213"/>
      <c r="P83" s="213"/>
      <c r="Q83" s="208"/>
      <c r="R83" s="208"/>
      <c r="S83" s="211"/>
      <c r="T83" s="208"/>
      <c r="U83" s="208"/>
      <c r="V83" s="211"/>
      <c r="W83" s="208"/>
      <c r="X83" s="208"/>
      <c r="Y83" s="213"/>
      <c r="Z83" s="213"/>
      <c r="AA83" s="213"/>
      <c r="AB83" s="208"/>
      <c r="AC83" s="209"/>
      <c r="AD83" s="217"/>
    </row>
    <row r="84" spans="1:30" s="188" customFormat="1" ht="13.2" customHeight="1" x14ac:dyDescent="0.25">
      <c r="A84" s="208"/>
      <c r="B84" s="211"/>
      <c r="C84" s="211"/>
      <c r="D84" s="208"/>
      <c r="E84" s="208"/>
      <c r="F84" s="208"/>
      <c r="G84" s="208"/>
      <c r="H84" s="208"/>
      <c r="I84" s="213"/>
      <c r="J84" s="213"/>
      <c r="K84" s="211"/>
      <c r="L84" s="208"/>
      <c r="M84" s="213"/>
      <c r="N84" s="213"/>
      <c r="O84" s="213"/>
      <c r="P84" s="213"/>
      <c r="Q84" s="208"/>
      <c r="R84" s="208"/>
      <c r="S84" s="211"/>
      <c r="T84" s="208"/>
      <c r="U84" s="208"/>
      <c r="V84" s="211"/>
      <c r="W84" s="208"/>
      <c r="X84" s="208"/>
      <c r="Y84" s="213"/>
      <c r="Z84" s="213"/>
      <c r="AA84" s="213"/>
      <c r="AB84" s="208"/>
      <c r="AC84" s="209"/>
      <c r="AD84" s="217"/>
    </row>
    <row r="85" spans="1:30" s="188" customFormat="1" ht="13.2" customHeight="1" x14ac:dyDescent="0.25">
      <c r="A85" s="208"/>
      <c r="B85" s="211"/>
      <c r="C85" s="211"/>
      <c r="D85" s="208"/>
      <c r="E85" s="208"/>
      <c r="F85" s="208"/>
      <c r="G85" s="208"/>
      <c r="H85" s="208"/>
      <c r="I85" s="213"/>
      <c r="J85" s="213"/>
      <c r="K85" s="211"/>
      <c r="L85" s="208"/>
      <c r="M85" s="213"/>
      <c r="N85" s="213"/>
      <c r="O85" s="213"/>
      <c r="P85" s="213"/>
      <c r="Q85" s="208"/>
      <c r="R85" s="208"/>
      <c r="S85" s="211"/>
      <c r="T85" s="208"/>
      <c r="U85" s="208"/>
      <c r="V85" s="211"/>
      <c r="W85" s="208"/>
      <c r="X85" s="208"/>
      <c r="Y85" s="213"/>
      <c r="Z85" s="213"/>
      <c r="AA85" s="213"/>
      <c r="AB85" s="208"/>
      <c r="AC85" s="209"/>
      <c r="AD85" s="217"/>
    </row>
    <row r="86" spans="1:30" s="188" customFormat="1" ht="13.2" customHeight="1" x14ac:dyDescent="0.25">
      <c r="A86" s="208"/>
      <c r="B86" s="211"/>
      <c r="C86" s="211"/>
      <c r="D86" s="208"/>
      <c r="E86" s="208"/>
      <c r="F86" s="208"/>
      <c r="G86" s="208"/>
      <c r="H86" s="208"/>
      <c r="I86" s="213"/>
      <c r="J86" s="213"/>
      <c r="K86" s="211"/>
      <c r="L86" s="208"/>
      <c r="M86" s="213"/>
      <c r="N86" s="213"/>
      <c r="O86" s="213"/>
      <c r="P86" s="213"/>
      <c r="Q86" s="208"/>
      <c r="R86" s="208"/>
      <c r="S86" s="211"/>
      <c r="T86" s="208"/>
      <c r="U86" s="208"/>
      <c r="V86" s="211"/>
      <c r="W86" s="208"/>
      <c r="X86" s="208"/>
      <c r="Y86" s="213"/>
      <c r="Z86" s="213"/>
      <c r="AA86" s="213"/>
      <c r="AB86" s="208"/>
      <c r="AC86" s="209"/>
      <c r="AD86" s="217"/>
    </row>
    <row r="87" spans="1:30" s="188" customFormat="1" ht="13.2" customHeight="1" x14ac:dyDescent="0.25">
      <c r="A87" s="208"/>
      <c r="B87" s="211"/>
      <c r="C87" s="211"/>
      <c r="D87" s="208"/>
      <c r="E87" s="208"/>
      <c r="F87" s="208"/>
      <c r="G87" s="208"/>
      <c r="H87" s="208"/>
      <c r="I87" s="213"/>
      <c r="J87" s="213"/>
      <c r="K87" s="211"/>
      <c r="L87" s="208"/>
      <c r="M87" s="213"/>
      <c r="N87" s="213"/>
      <c r="O87" s="213"/>
      <c r="P87" s="213"/>
      <c r="Q87" s="208"/>
      <c r="R87" s="208"/>
      <c r="S87" s="211"/>
      <c r="T87" s="208"/>
      <c r="U87" s="208"/>
      <c r="V87" s="211"/>
      <c r="W87" s="208"/>
      <c r="X87" s="208"/>
      <c r="Y87" s="213"/>
      <c r="Z87" s="213"/>
      <c r="AA87" s="213"/>
      <c r="AB87" s="208"/>
      <c r="AC87" s="209"/>
      <c r="AD87" s="217"/>
    </row>
    <row r="88" spans="1:30" s="188" customFormat="1" ht="13.2" customHeight="1" x14ac:dyDescent="0.25">
      <c r="A88" s="208"/>
      <c r="B88" s="211"/>
      <c r="C88" s="211"/>
      <c r="D88" s="208"/>
      <c r="E88" s="208"/>
      <c r="F88" s="208"/>
      <c r="G88" s="208"/>
      <c r="H88" s="208"/>
      <c r="I88" s="213"/>
      <c r="J88" s="213"/>
      <c r="K88" s="211"/>
      <c r="L88" s="208"/>
      <c r="M88" s="213"/>
      <c r="N88" s="213"/>
      <c r="O88" s="213"/>
      <c r="P88" s="213"/>
      <c r="Q88" s="208"/>
      <c r="R88" s="208"/>
      <c r="S88" s="211"/>
      <c r="T88" s="208"/>
      <c r="U88" s="208"/>
      <c r="V88" s="211"/>
      <c r="W88" s="208"/>
      <c r="X88" s="208"/>
      <c r="Y88" s="213"/>
      <c r="Z88" s="213"/>
      <c r="AA88" s="213"/>
      <c r="AB88" s="208"/>
      <c r="AC88" s="209"/>
      <c r="AD88" s="217"/>
    </row>
    <row r="89" spans="1:30" s="188" customFormat="1" ht="13.2" customHeight="1" x14ac:dyDescent="0.25">
      <c r="A89" s="208"/>
      <c r="B89" s="211"/>
      <c r="C89" s="211"/>
      <c r="D89" s="208"/>
      <c r="E89" s="208"/>
      <c r="F89" s="208"/>
      <c r="G89" s="208"/>
      <c r="H89" s="208"/>
      <c r="I89" s="213"/>
      <c r="J89" s="213"/>
      <c r="K89" s="211"/>
      <c r="L89" s="208"/>
      <c r="M89" s="213"/>
      <c r="N89" s="213"/>
      <c r="O89" s="213"/>
      <c r="P89" s="213"/>
      <c r="Q89" s="208"/>
      <c r="R89" s="208"/>
      <c r="S89" s="211"/>
      <c r="T89" s="208"/>
      <c r="U89" s="208"/>
      <c r="V89" s="211"/>
      <c r="W89" s="208"/>
      <c r="X89" s="208"/>
      <c r="Y89" s="213"/>
      <c r="Z89" s="213"/>
      <c r="AA89" s="213"/>
      <c r="AB89" s="208"/>
      <c r="AC89" s="209"/>
      <c r="AD89" s="217"/>
    </row>
    <row r="90" spans="1:30" s="188" customFormat="1" ht="13.2" customHeight="1" x14ac:dyDescent="0.25">
      <c r="A90" s="208"/>
      <c r="B90" s="211"/>
      <c r="C90" s="211"/>
      <c r="D90" s="208"/>
      <c r="E90" s="208"/>
      <c r="F90" s="208"/>
      <c r="G90" s="208"/>
      <c r="H90" s="208"/>
      <c r="I90" s="213"/>
      <c r="J90" s="213"/>
      <c r="K90" s="211"/>
      <c r="L90" s="208"/>
      <c r="M90" s="213"/>
      <c r="N90" s="213"/>
      <c r="O90" s="213"/>
      <c r="P90" s="213"/>
      <c r="Q90" s="208"/>
      <c r="R90" s="208"/>
      <c r="S90" s="211"/>
      <c r="T90" s="208"/>
      <c r="U90" s="208"/>
      <c r="V90" s="211"/>
      <c r="W90" s="208"/>
      <c r="X90" s="208"/>
      <c r="Y90" s="213"/>
      <c r="Z90" s="213"/>
      <c r="AA90" s="213"/>
      <c r="AB90" s="208"/>
      <c r="AC90" s="209"/>
      <c r="AD90" s="217"/>
    </row>
    <row r="91" spans="1:30" s="188" customFormat="1" ht="13.2" customHeight="1" x14ac:dyDescent="0.25">
      <c r="A91" s="208"/>
      <c r="B91" s="211"/>
      <c r="C91" s="211"/>
      <c r="D91" s="208"/>
      <c r="E91" s="208"/>
      <c r="F91" s="208"/>
      <c r="G91" s="208"/>
      <c r="H91" s="208"/>
      <c r="I91" s="213"/>
      <c r="J91" s="213"/>
      <c r="K91" s="211"/>
      <c r="L91" s="208"/>
      <c r="M91" s="213"/>
      <c r="N91" s="213"/>
      <c r="O91" s="213"/>
      <c r="P91" s="213"/>
      <c r="Q91" s="208"/>
      <c r="R91" s="208"/>
      <c r="S91" s="211"/>
      <c r="T91" s="208"/>
      <c r="U91" s="208"/>
      <c r="V91" s="211"/>
      <c r="W91" s="208"/>
      <c r="X91" s="208"/>
      <c r="Y91" s="213"/>
      <c r="Z91" s="213"/>
      <c r="AA91" s="213"/>
      <c r="AB91" s="208"/>
      <c r="AC91" s="209"/>
      <c r="AD91" s="217"/>
    </row>
    <row r="92" spans="1:30" s="188" customFormat="1" ht="13.2" customHeight="1" x14ac:dyDescent="0.25">
      <c r="A92" s="208"/>
      <c r="B92" s="211"/>
      <c r="C92" s="211"/>
      <c r="D92" s="208"/>
      <c r="E92" s="208"/>
      <c r="F92" s="208"/>
      <c r="G92" s="208"/>
      <c r="H92" s="208"/>
      <c r="I92" s="213"/>
      <c r="J92" s="213"/>
      <c r="K92" s="211"/>
      <c r="L92" s="208"/>
      <c r="M92" s="213"/>
      <c r="N92" s="213"/>
      <c r="O92" s="213"/>
      <c r="P92" s="213"/>
      <c r="Q92" s="208"/>
      <c r="R92" s="208"/>
      <c r="S92" s="211"/>
      <c r="T92" s="208"/>
      <c r="U92" s="208"/>
      <c r="V92" s="211"/>
      <c r="W92" s="208"/>
      <c r="X92" s="208"/>
      <c r="Y92" s="213"/>
      <c r="Z92" s="213"/>
      <c r="AA92" s="213"/>
      <c r="AB92" s="208"/>
      <c r="AC92" s="209"/>
      <c r="AD92" s="217"/>
    </row>
    <row r="93" spans="1:30" s="188" customFormat="1" ht="13.2" customHeight="1" x14ac:dyDescent="0.25">
      <c r="A93" s="208"/>
      <c r="B93" s="211"/>
      <c r="C93" s="211"/>
      <c r="D93" s="208"/>
      <c r="E93" s="208"/>
      <c r="F93" s="208"/>
      <c r="G93" s="208"/>
      <c r="H93" s="208"/>
      <c r="I93" s="213"/>
      <c r="J93" s="213"/>
      <c r="K93" s="211"/>
      <c r="L93" s="208"/>
      <c r="M93" s="213"/>
      <c r="N93" s="213"/>
      <c r="O93" s="213"/>
      <c r="P93" s="213"/>
      <c r="Q93" s="208"/>
      <c r="R93" s="208"/>
      <c r="S93" s="211"/>
      <c r="T93" s="208"/>
      <c r="U93" s="208"/>
      <c r="V93" s="211"/>
      <c r="W93" s="208"/>
      <c r="X93" s="208"/>
      <c r="Y93" s="213"/>
      <c r="Z93" s="213"/>
      <c r="AA93" s="213"/>
      <c r="AB93" s="208"/>
      <c r="AC93" s="209"/>
      <c r="AD93" s="217"/>
    </row>
    <row r="94" spans="1:30" s="188" customFormat="1" ht="13.2" customHeight="1" x14ac:dyDescent="0.25">
      <c r="A94" s="208"/>
      <c r="B94" s="211"/>
      <c r="C94" s="211"/>
      <c r="D94" s="208"/>
      <c r="E94" s="208"/>
      <c r="F94" s="208"/>
      <c r="G94" s="208"/>
      <c r="H94" s="208"/>
      <c r="I94" s="213"/>
      <c r="J94" s="213"/>
      <c r="K94" s="211"/>
      <c r="L94" s="208"/>
      <c r="M94" s="213"/>
      <c r="N94" s="213"/>
      <c r="O94" s="213"/>
      <c r="P94" s="213"/>
      <c r="Q94" s="208"/>
      <c r="R94" s="208"/>
      <c r="S94" s="211"/>
      <c r="T94" s="208"/>
      <c r="U94" s="208"/>
      <c r="V94" s="211"/>
      <c r="W94" s="208"/>
      <c r="X94" s="208"/>
      <c r="Y94" s="213"/>
      <c r="Z94" s="213"/>
      <c r="AA94" s="213"/>
      <c r="AB94" s="208"/>
      <c r="AC94" s="209"/>
      <c r="AD94" s="217"/>
    </row>
    <row r="95" spans="1:30" s="188" customFormat="1" ht="13.2" customHeight="1" x14ac:dyDescent="0.25">
      <c r="A95" s="208"/>
      <c r="B95" s="211"/>
      <c r="C95" s="211"/>
      <c r="D95" s="208"/>
      <c r="E95" s="208"/>
      <c r="F95" s="208"/>
      <c r="G95" s="208"/>
      <c r="H95" s="208"/>
      <c r="I95" s="213"/>
      <c r="J95" s="213"/>
      <c r="K95" s="211"/>
      <c r="L95" s="208"/>
      <c r="M95" s="213"/>
      <c r="N95" s="213"/>
      <c r="O95" s="213"/>
      <c r="P95" s="213"/>
      <c r="Q95" s="208"/>
      <c r="R95" s="208"/>
      <c r="S95" s="211"/>
      <c r="T95" s="208"/>
      <c r="U95" s="208"/>
      <c r="V95" s="211"/>
      <c r="W95" s="208"/>
      <c r="X95" s="208"/>
      <c r="Y95" s="213"/>
      <c r="Z95" s="213"/>
      <c r="AA95" s="213"/>
      <c r="AB95" s="208"/>
      <c r="AC95" s="209"/>
      <c r="AD95" s="217"/>
    </row>
    <row r="96" spans="1:30" s="188" customFormat="1" ht="13.2" customHeight="1" x14ac:dyDescent="0.25">
      <c r="A96" s="208"/>
      <c r="B96" s="211"/>
      <c r="C96" s="211"/>
      <c r="D96" s="208"/>
      <c r="E96" s="208"/>
      <c r="F96" s="208"/>
      <c r="G96" s="208"/>
      <c r="H96" s="208"/>
      <c r="I96" s="213"/>
      <c r="J96" s="213"/>
      <c r="K96" s="211"/>
      <c r="L96" s="208"/>
      <c r="M96" s="213"/>
      <c r="N96" s="213"/>
      <c r="O96" s="213"/>
      <c r="P96" s="213"/>
      <c r="Q96" s="208"/>
      <c r="R96" s="208"/>
      <c r="S96" s="211"/>
      <c r="T96" s="208"/>
      <c r="U96" s="208"/>
      <c r="V96" s="211"/>
      <c r="W96" s="208"/>
      <c r="X96" s="208"/>
      <c r="Y96" s="213"/>
      <c r="Z96" s="213"/>
      <c r="AA96" s="213"/>
      <c r="AB96" s="208"/>
      <c r="AC96" s="209"/>
      <c r="AD96" s="217"/>
    </row>
    <row r="97" spans="1:30" s="188" customFormat="1" ht="13.2" customHeight="1" x14ac:dyDescent="0.25">
      <c r="A97" s="208"/>
      <c r="B97" s="211"/>
      <c r="C97" s="211"/>
      <c r="D97" s="208"/>
      <c r="E97" s="208"/>
      <c r="F97" s="208"/>
      <c r="G97" s="208"/>
      <c r="H97" s="208"/>
      <c r="I97" s="213"/>
      <c r="J97" s="213"/>
      <c r="K97" s="211"/>
      <c r="L97" s="208"/>
      <c r="M97" s="213"/>
      <c r="N97" s="213"/>
      <c r="O97" s="213"/>
      <c r="P97" s="213"/>
      <c r="Q97" s="208"/>
      <c r="R97" s="208"/>
      <c r="S97" s="211"/>
      <c r="T97" s="208"/>
      <c r="U97" s="208"/>
      <c r="V97" s="211"/>
      <c r="W97" s="208"/>
      <c r="X97" s="208"/>
      <c r="Y97" s="213"/>
      <c r="Z97" s="213"/>
      <c r="AA97" s="213"/>
      <c r="AB97" s="208"/>
      <c r="AC97" s="209"/>
      <c r="AD97" s="217"/>
    </row>
    <row r="98" spans="1:30" s="188" customFormat="1" ht="13.2" customHeight="1" x14ac:dyDescent="0.25">
      <c r="A98" s="208"/>
      <c r="B98" s="211"/>
      <c r="C98" s="211"/>
      <c r="D98" s="208"/>
      <c r="E98" s="208"/>
      <c r="F98" s="208"/>
      <c r="G98" s="208"/>
      <c r="H98" s="208"/>
      <c r="I98" s="213"/>
      <c r="J98" s="213"/>
      <c r="K98" s="211"/>
      <c r="L98" s="208"/>
      <c r="M98" s="213"/>
      <c r="N98" s="213"/>
      <c r="O98" s="213"/>
      <c r="P98" s="213"/>
      <c r="Q98" s="208"/>
      <c r="R98" s="208"/>
      <c r="S98" s="211"/>
      <c r="T98" s="208"/>
      <c r="U98" s="208"/>
      <c r="V98" s="211"/>
      <c r="W98" s="208"/>
      <c r="X98" s="208"/>
      <c r="Y98" s="213"/>
      <c r="Z98" s="213"/>
      <c r="AA98" s="213"/>
      <c r="AB98" s="208"/>
      <c r="AC98" s="209"/>
      <c r="AD98" s="217"/>
    </row>
    <row r="99" spans="1:30" s="188" customFormat="1" ht="13.2" customHeight="1" x14ac:dyDescent="0.25">
      <c r="A99" s="208"/>
      <c r="B99" s="211"/>
      <c r="C99" s="211"/>
      <c r="D99" s="208"/>
      <c r="E99" s="208"/>
      <c r="F99" s="208"/>
      <c r="G99" s="208"/>
      <c r="H99" s="208"/>
      <c r="I99" s="213"/>
      <c r="J99" s="213"/>
      <c r="K99" s="211"/>
      <c r="L99" s="208"/>
      <c r="M99" s="213"/>
      <c r="N99" s="213"/>
      <c r="O99" s="213"/>
      <c r="P99" s="213"/>
      <c r="Q99" s="208"/>
      <c r="R99" s="208"/>
      <c r="S99" s="211"/>
      <c r="T99" s="208"/>
      <c r="U99" s="208"/>
      <c r="V99" s="211"/>
      <c r="W99" s="208"/>
      <c r="X99" s="208"/>
      <c r="Y99" s="213"/>
      <c r="Z99" s="213"/>
      <c r="AA99" s="213"/>
      <c r="AB99" s="208"/>
      <c r="AC99" s="209"/>
      <c r="AD99" s="217"/>
    </row>
    <row r="100" spans="1:30" s="188" customFormat="1" ht="13.2" customHeight="1" x14ac:dyDescent="0.25">
      <c r="A100" s="208"/>
      <c r="B100" s="211"/>
      <c r="C100" s="211"/>
      <c r="D100" s="208"/>
      <c r="E100" s="208"/>
      <c r="F100" s="208"/>
      <c r="G100" s="208"/>
      <c r="H100" s="208"/>
      <c r="I100" s="213"/>
      <c r="J100" s="213"/>
      <c r="K100" s="211"/>
      <c r="L100" s="208"/>
      <c r="M100" s="213"/>
      <c r="N100" s="213"/>
      <c r="O100" s="213"/>
      <c r="P100" s="213"/>
      <c r="Q100" s="208"/>
      <c r="R100" s="208"/>
      <c r="S100" s="211"/>
      <c r="T100" s="208"/>
      <c r="U100" s="208"/>
      <c r="V100" s="211"/>
      <c r="W100" s="208"/>
      <c r="X100" s="208"/>
      <c r="Y100" s="213"/>
      <c r="Z100" s="213"/>
      <c r="AA100" s="213"/>
      <c r="AB100" s="208"/>
      <c r="AC100" s="209"/>
      <c r="AD100" s="217"/>
    </row>
    <row r="101" spans="1:30" s="188" customFormat="1" ht="13.2" customHeight="1" x14ac:dyDescent="0.25">
      <c r="A101" s="208"/>
      <c r="B101" s="211"/>
      <c r="C101" s="211"/>
      <c r="D101" s="208"/>
      <c r="E101" s="208"/>
      <c r="F101" s="208"/>
      <c r="G101" s="208"/>
      <c r="H101" s="208"/>
      <c r="I101" s="213"/>
      <c r="J101" s="213"/>
      <c r="K101" s="211"/>
      <c r="L101" s="208"/>
      <c r="M101" s="213"/>
      <c r="N101" s="213"/>
      <c r="O101" s="213"/>
      <c r="P101" s="213"/>
      <c r="Q101" s="208"/>
      <c r="R101" s="208"/>
      <c r="S101" s="211"/>
      <c r="T101" s="208"/>
      <c r="U101" s="208"/>
      <c r="V101" s="211"/>
      <c r="W101" s="208"/>
      <c r="X101" s="208"/>
      <c r="Y101" s="213"/>
      <c r="Z101" s="213"/>
      <c r="AA101" s="213"/>
      <c r="AB101" s="208"/>
      <c r="AC101" s="209"/>
      <c r="AD101" s="217"/>
    </row>
    <row r="102" spans="1:30" s="188" customFormat="1" ht="13.2" customHeight="1" x14ac:dyDescent="0.25">
      <c r="A102" s="208"/>
      <c r="B102" s="211"/>
      <c r="C102" s="211"/>
      <c r="D102" s="208"/>
      <c r="E102" s="208"/>
      <c r="F102" s="208"/>
      <c r="G102" s="208"/>
      <c r="H102" s="208"/>
      <c r="I102" s="213"/>
      <c r="J102" s="213"/>
      <c r="K102" s="211"/>
      <c r="L102" s="208"/>
      <c r="M102" s="213"/>
      <c r="N102" s="213"/>
      <c r="O102" s="213"/>
      <c r="P102" s="213"/>
      <c r="Q102" s="208"/>
      <c r="R102" s="208"/>
      <c r="S102" s="211"/>
      <c r="T102" s="208"/>
      <c r="U102" s="208"/>
      <c r="V102" s="211"/>
      <c r="W102" s="208"/>
      <c r="X102" s="208"/>
      <c r="Y102" s="213"/>
      <c r="Z102" s="213"/>
      <c r="AA102" s="213"/>
      <c r="AB102" s="208"/>
      <c r="AC102" s="209"/>
      <c r="AD102" s="217"/>
    </row>
    <row r="103" spans="1:30" s="188" customFormat="1" ht="13.2" customHeight="1" x14ac:dyDescent="0.25">
      <c r="A103" s="208"/>
      <c r="B103" s="211"/>
      <c r="C103" s="211"/>
      <c r="D103" s="208"/>
      <c r="E103" s="208"/>
      <c r="F103" s="208"/>
      <c r="G103" s="208"/>
      <c r="H103" s="208"/>
      <c r="I103" s="213"/>
      <c r="J103" s="213"/>
      <c r="K103" s="211"/>
      <c r="L103" s="208"/>
      <c r="M103" s="213"/>
      <c r="N103" s="213"/>
      <c r="O103" s="213"/>
      <c r="P103" s="213"/>
      <c r="Q103" s="208"/>
      <c r="R103" s="208"/>
      <c r="S103" s="211"/>
      <c r="T103" s="208"/>
      <c r="U103" s="208"/>
      <c r="V103" s="211"/>
      <c r="W103" s="208"/>
      <c r="X103" s="208"/>
      <c r="Y103" s="213"/>
      <c r="Z103" s="213"/>
      <c r="AA103" s="213"/>
      <c r="AB103" s="208"/>
      <c r="AC103" s="209"/>
      <c r="AD103" s="217"/>
    </row>
    <row r="104" spans="1:30" s="188" customFormat="1" ht="13.2" customHeight="1" x14ac:dyDescent="0.25">
      <c r="A104" s="208"/>
      <c r="B104" s="211"/>
      <c r="C104" s="211"/>
      <c r="D104" s="208"/>
      <c r="E104" s="208"/>
      <c r="F104" s="208"/>
      <c r="G104" s="208"/>
      <c r="H104" s="208"/>
      <c r="I104" s="213"/>
      <c r="J104" s="213"/>
      <c r="K104" s="211"/>
      <c r="L104" s="208"/>
      <c r="M104" s="213"/>
      <c r="N104" s="213"/>
      <c r="O104" s="213"/>
      <c r="P104" s="213"/>
      <c r="Q104" s="208"/>
      <c r="R104" s="208"/>
      <c r="S104" s="211"/>
      <c r="T104" s="208"/>
      <c r="U104" s="208"/>
      <c r="V104" s="211"/>
      <c r="W104" s="208"/>
      <c r="X104" s="208"/>
      <c r="Y104" s="213"/>
      <c r="Z104" s="213"/>
      <c r="AA104" s="213"/>
      <c r="AB104" s="208"/>
      <c r="AC104" s="209"/>
      <c r="AD104" s="217"/>
    </row>
    <row r="105" spans="1:30" s="188" customFormat="1" ht="13.2" customHeight="1" x14ac:dyDescent="0.25">
      <c r="A105" s="208"/>
      <c r="B105" s="211"/>
      <c r="C105" s="211"/>
      <c r="D105" s="208"/>
      <c r="E105" s="208"/>
      <c r="F105" s="208"/>
      <c r="G105" s="208"/>
      <c r="H105" s="208"/>
      <c r="I105" s="213"/>
      <c r="J105" s="213"/>
      <c r="K105" s="211"/>
      <c r="L105" s="208"/>
      <c r="M105" s="213"/>
      <c r="N105" s="213"/>
      <c r="O105" s="213"/>
      <c r="P105" s="213"/>
      <c r="Q105" s="208"/>
      <c r="R105" s="208"/>
      <c r="S105" s="211"/>
      <c r="T105" s="208"/>
      <c r="U105" s="208"/>
      <c r="V105" s="211"/>
      <c r="W105" s="208"/>
      <c r="X105" s="208"/>
      <c r="Y105" s="213"/>
      <c r="Z105" s="213"/>
      <c r="AA105" s="213"/>
      <c r="AB105" s="208"/>
      <c r="AC105" s="209"/>
      <c r="AD105" s="217"/>
    </row>
    <row r="106" spans="1:30" s="188" customFormat="1" ht="13.2" customHeight="1" x14ac:dyDescent="0.25">
      <c r="A106" s="208"/>
      <c r="B106" s="211"/>
      <c r="C106" s="211"/>
      <c r="D106" s="208"/>
      <c r="E106" s="208"/>
      <c r="F106" s="208"/>
      <c r="G106" s="208"/>
      <c r="H106" s="208"/>
      <c r="I106" s="213"/>
      <c r="J106" s="213"/>
      <c r="K106" s="211"/>
      <c r="L106" s="208"/>
      <c r="M106" s="213"/>
      <c r="N106" s="213"/>
      <c r="O106" s="213"/>
      <c r="P106" s="213"/>
      <c r="Q106" s="208"/>
      <c r="R106" s="208"/>
      <c r="S106" s="211"/>
      <c r="T106" s="208"/>
      <c r="U106" s="208"/>
      <c r="V106" s="211"/>
      <c r="W106" s="208"/>
      <c r="X106" s="208"/>
      <c r="Y106" s="213"/>
      <c r="Z106" s="213"/>
      <c r="AA106" s="213"/>
      <c r="AB106" s="208"/>
      <c r="AC106" s="209"/>
      <c r="AD106" s="217"/>
    </row>
    <row r="107" spans="1:30" s="188" customFormat="1" ht="13.2" customHeight="1" x14ac:dyDescent="0.25">
      <c r="A107" s="208"/>
      <c r="B107" s="211"/>
      <c r="C107" s="211"/>
      <c r="D107" s="208"/>
      <c r="E107" s="208"/>
      <c r="F107" s="208"/>
      <c r="G107" s="208"/>
      <c r="H107" s="208"/>
      <c r="I107" s="213"/>
      <c r="J107" s="213"/>
      <c r="K107" s="211"/>
      <c r="L107" s="208"/>
      <c r="M107" s="213"/>
      <c r="N107" s="213"/>
      <c r="O107" s="213"/>
      <c r="P107" s="213"/>
      <c r="Q107" s="208"/>
      <c r="R107" s="208"/>
      <c r="S107" s="211"/>
      <c r="T107" s="208"/>
      <c r="U107" s="208"/>
      <c r="V107" s="211"/>
      <c r="W107" s="208"/>
      <c r="X107" s="208"/>
      <c r="Y107" s="213"/>
      <c r="Z107" s="213"/>
      <c r="AA107" s="213"/>
      <c r="AB107" s="208"/>
      <c r="AC107" s="209"/>
      <c r="AD107" s="217"/>
    </row>
    <row r="108" spans="1:30" s="188" customFormat="1" ht="13.2" customHeight="1" x14ac:dyDescent="0.25">
      <c r="A108" s="208"/>
      <c r="B108" s="211"/>
      <c r="C108" s="211"/>
      <c r="D108" s="208"/>
      <c r="E108" s="208"/>
      <c r="F108" s="208"/>
      <c r="G108" s="208"/>
      <c r="H108" s="208"/>
      <c r="I108" s="213"/>
      <c r="J108" s="213"/>
      <c r="K108" s="211"/>
      <c r="L108" s="208"/>
      <c r="M108" s="213"/>
      <c r="N108" s="213"/>
      <c r="O108" s="213"/>
      <c r="P108" s="213"/>
      <c r="Q108" s="208"/>
      <c r="R108" s="208"/>
      <c r="S108" s="211"/>
      <c r="T108" s="208"/>
      <c r="U108" s="208"/>
      <c r="V108" s="211"/>
      <c r="W108" s="208"/>
      <c r="X108" s="208"/>
      <c r="Y108" s="213"/>
      <c r="Z108" s="213"/>
      <c r="AA108" s="213"/>
      <c r="AB108" s="208"/>
      <c r="AC108" s="209"/>
      <c r="AD108" s="217"/>
    </row>
    <row r="109" spans="1:30" s="188" customFormat="1" ht="13.2" customHeight="1" x14ac:dyDescent="0.25">
      <c r="A109" s="208"/>
      <c r="B109" s="211"/>
      <c r="C109" s="211"/>
      <c r="D109" s="208"/>
      <c r="E109" s="208"/>
      <c r="F109" s="208"/>
      <c r="G109" s="208"/>
      <c r="H109" s="208"/>
      <c r="I109" s="213"/>
      <c r="J109" s="213"/>
      <c r="K109" s="211"/>
      <c r="L109" s="208"/>
      <c r="M109" s="213"/>
      <c r="N109" s="213"/>
      <c r="O109" s="213"/>
      <c r="P109" s="213"/>
      <c r="Q109" s="208"/>
      <c r="R109" s="208"/>
      <c r="S109" s="211"/>
      <c r="T109" s="208"/>
      <c r="U109" s="208"/>
      <c r="V109" s="211"/>
      <c r="W109" s="208"/>
      <c r="X109" s="208"/>
      <c r="Y109" s="213"/>
      <c r="Z109" s="213"/>
      <c r="AA109" s="213"/>
      <c r="AB109" s="208"/>
      <c r="AC109" s="209"/>
      <c r="AD109" s="217"/>
    </row>
    <row r="110" spans="1:30" s="188" customFormat="1" ht="13.2" customHeight="1" x14ac:dyDescent="0.25">
      <c r="A110" s="208"/>
      <c r="B110" s="211"/>
      <c r="C110" s="211"/>
      <c r="D110" s="208"/>
      <c r="E110" s="208"/>
      <c r="F110" s="208"/>
      <c r="G110" s="208"/>
      <c r="H110" s="208"/>
      <c r="I110" s="213"/>
      <c r="J110" s="213"/>
      <c r="K110" s="211"/>
      <c r="L110" s="208"/>
      <c r="M110" s="213"/>
      <c r="N110" s="213"/>
      <c r="O110" s="213"/>
      <c r="P110" s="213"/>
      <c r="Q110" s="208"/>
      <c r="R110" s="208"/>
      <c r="S110" s="211"/>
      <c r="T110" s="208"/>
      <c r="U110" s="208"/>
      <c r="V110" s="211"/>
      <c r="W110" s="208"/>
      <c r="X110" s="208"/>
      <c r="Y110" s="213"/>
      <c r="Z110" s="213"/>
      <c r="AA110" s="213"/>
      <c r="AB110" s="208"/>
      <c r="AC110" s="209"/>
      <c r="AD110" s="217"/>
    </row>
    <row r="111" spans="1:30" s="188" customFormat="1" ht="13.2" customHeight="1" x14ac:dyDescent="0.25">
      <c r="A111" s="208"/>
      <c r="B111" s="211"/>
      <c r="C111" s="211"/>
      <c r="D111" s="208"/>
      <c r="E111" s="208"/>
      <c r="F111" s="208"/>
      <c r="G111" s="208"/>
      <c r="H111" s="208"/>
      <c r="I111" s="213"/>
      <c r="J111" s="213"/>
      <c r="K111" s="211"/>
      <c r="L111" s="208"/>
      <c r="M111" s="213"/>
      <c r="N111" s="213"/>
      <c r="O111" s="213"/>
      <c r="P111" s="213"/>
      <c r="Q111" s="208"/>
      <c r="R111" s="208"/>
      <c r="S111" s="211"/>
      <c r="T111" s="208"/>
      <c r="U111" s="208"/>
      <c r="V111" s="211"/>
      <c r="W111" s="208"/>
      <c r="X111" s="208"/>
      <c r="Y111" s="213"/>
      <c r="Z111" s="213"/>
      <c r="AA111" s="213"/>
      <c r="AB111" s="208"/>
      <c r="AC111" s="209"/>
      <c r="AD111" s="217"/>
    </row>
    <row r="112" spans="1:30" s="188" customFormat="1" ht="13.2" customHeight="1" x14ac:dyDescent="0.25">
      <c r="A112" s="208"/>
      <c r="B112" s="211"/>
      <c r="C112" s="211"/>
      <c r="D112" s="208"/>
      <c r="E112" s="208"/>
      <c r="F112" s="208"/>
      <c r="G112" s="208"/>
      <c r="H112" s="208"/>
      <c r="I112" s="213"/>
      <c r="J112" s="213"/>
      <c r="K112" s="211"/>
      <c r="L112" s="208"/>
      <c r="M112" s="213"/>
      <c r="N112" s="213"/>
      <c r="O112" s="213"/>
      <c r="P112" s="213"/>
      <c r="Q112" s="208"/>
      <c r="R112" s="208"/>
      <c r="S112" s="211"/>
      <c r="T112" s="208"/>
      <c r="U112" s="208"/>
      <c r="V112" s="211"/>
      <c r="W112" s="208"/>
      <c r="X112" s="208"/>
      <c r="Y112" s="213"/>
      <c r="Z112" s="213"/>
      <c r="AA112" s="213"/>
      <c r="AB112" s="208"/>
      <c r="AC112" s="209"/>
      <c r="AD112" s="217"/>
    </row>
    <row r="113" spans="1:30" s="188" customFormat="1" ht="13.2" customHeight="1" x14ac:dyDescent="0.25">
      <c r="A113" s="208"/>
      <c r="B113" s="211"/>
      <c r="C113" s="211"/>
      <c r="D113" s="208"/>
      <c r="E113" s="208"/>
      <c r="F113" s="208"/>
      <c r="G113" s="208"/>
      <c r="H113" s="208"/>
      <c r="I113" s="213"/>
      <c r="J113" s="213"/>
      <c r="K113" s="211"/>
      <c r="L113" s="208"/>
      <c r="M113" s="213"/>
      <c r="N113" s="213"/>
      <c r="O113" s="213"/>
      <c r="P113" s="213"/>
      <c r="Q113" s="208"/>
      <c r="R113" s="208"/>
      <c r="S113" s="211"/>
      <c r="T113" s="208"/>
      <c r="U113" s="208"/>
      <c r="V113" s="211"/>
      <c r="W113" s="208"/>
      <c r="X113" s="208"/>
      <c r="Y113" s="213"/>
      <c r="Z113" s="213"/>
      <c r="AA113" s="213"/>
      <c r="AB113" s="208"/>
      <c r="AC113" s="209"/>
      <c r="AD113" s="217"/>
    </row>
    <row r="114" spans="1:30" s="188" customFormat="1" ht="13.2" customHeight="1" x14ac:dyDescent="0.25">
      <c r="A114" s="208"/>
      <c r="B114" s="211"/>
      <c r="C114" s="211"/>
      <c r="D114" s="208"/>
      <c r="E114" s="208"/>
      <c r="F114" s="208"/>
      <c r="G114" s="208"/>
      <c r="H114" s="208"/>
      <c r="I114" s="213"/>
      <c r="J114" s="213"/>
      <c r="K114" s="211"/>
      <c r="L114" s="208"/>
      <c r="M114" s="213"/>
      <c r="N114" s="213"/>
      <c r="O114" s="213"/>
      <c r="P114" s="213"/>
      <c r="Q114" s="208"/>
      <c r="R114" s="208"/>
      <c r="S114" s="211"/>
      <c r="T114" s="208"/>
      <c r="U114" s="208"/>
      <c r="V114" s="211"/>
      <c r="W114" s="208"/>
      <c r="X114" s="208"/>
      <c r="Y114" s="213"/>
      <c r="Z114" s="213"/>
      <c r="AA114" s="213"/>
      <c r="AB114" s="208"/>
      <c r="AC114" s="209"/>
      <c r="AD114" s="217"/>
    </row>
    <row r="115" spans="1:30" s="188" customFormat="1" ht="13.2" customHeight="1" x14ac:dyDescent="0.25">
      <c r="A115" s="208"/>
      <c r="B115" s="211"/>
      <c r="C115" s="211"/>
      <c r="D115" s="208"/>
      <c r="E115" s="208"/>
      <c r="F115" s="208"/>
      <c r="G115" s="208"/>
      <c r="H115" s="208"/>
      <c r="I115" s="213"/>
      <c r="J115" s="213"/>
      <c r="K115" s="211"/>
      <c r="L115" s="208"/>
      <c r="M115" s="213"/>
      <c r="N115" s="213"/>
      <c r="O115" s="213"/>
      <c r="P115" s="213"/>
      <c r="Q115" s="208"/>
      <c r="R115" s="208"/>
      <c r="S115" s="211"/>
      <c r="T115" s="208"/>
      <c r="U115" s="208"/>
      <c r="V115" s="211"/>
      <c r="W115" s="208"/>
      <c r="X115" s="208"/>
      <c r="Y115" s="213"/>
      <c r="Z115" s="213"/>
      <c r="AA115" s="213"/>
      <c r="AB115" s="208"/>
      <c r="AC115" s="209"/>
      <c r="AD115" s="217"/>
    </row>
    <row r="116" spans="1:30" s="188" customFormat="1" ht="13.2" customHeight="1" x14ac:dyDescent="0.25">
      <c r="A116" s="208"/>
      <c r="B116" s="211"/>
      <c r="C116" s="211"/>
      <c r="D116" s="208"/>
      <c r="E116" s="208"/>
      <c r="F116" s="208"/>
      <c r="G116" s="208"/>
      <c r="H116" s="208"/>
      <c r="I116" s="213"/>
      <c r="J116" s="213"/>
      <c r="K116" s="211"/>
      <c r="L116" s="208"/>
      <c r="M116" s="213"/>
      <c r="N116" s="213"/>
      <c r="O116" s="213"/>
      <c r="P116" s="213"/>
      <c r="Q116" s="208"/>
      <c r="R116" s="208"/>
      <c r="S116" s="211"/>
      <c r="T116" s="208"/>
      <c r="U116" s="208"/>
      <c r="V116" s="211"/>
      <c r="W116" s="208"/>
      <c r="X116" s="208"/>
      <c r="Y116" s="213"/>
      <c r="Z116" s="213"/>
      <c r="AA116" s="213"/>
      <c r="AB116" s="208"/>
      <c r="AC116" s="209"/>
      <c r="AD116" s="217"/>
    </row>
    <row r="117" spans="1:30" s="188" customFormat="1" ht="13.2" customHeight="1" x14ac:dyDescent="0.25">
      <c r="A117" s="208"/>
      <c r="B117" s="211"/>
      <c r="C117" s="211"/>
      <c r="D117" s="208"/>
      <c r="E117" s="208"/>
      <c r="F117" s="208"/>
      <c r="G117" s="208"/>
      <c r="H117" s="208"/>
      <c r="I117" s="213"/>
      <c r="J117" s="213"/>
      <c r="K117" s="211"/>
      <c r="L117" s="208"/>
      <c r="M117" s="213"/>
      <c r="N117" s="213"/>
      <c r="O117" s="213"/>
      <c r="P117" s="213"/>
      <c r="Q117" s="208"/>
      <c r="R117" s="208"/>
      <c r="S117" s="211"/>
      <c r="T117" s="208"/>
      <c r="U117" s="208"/>
      <c r="V117" s="211"/>
      <c r="W117" s="208"/>
      <c r="X117" s="208"/>
      <c r="Y117" s="213"/>
      <c r="Z117" s="213"/>
      <c r="AA117" s="213"/>
      <c r="AB117" s="208"/>
      <c r="AC117" s="209"/>
      <c r="AD117" s="217"/>
    </row>
    <row r="118" spans="1:30" s="188" customFormat="1" ht="13.2" customHeight="1" x14ac:dyDescent="0.25">
      <c r="A118" s="208"/>
      <c r="B118" s="211"/>
      <c r="C118" s="211"/>
      <c r="D118" s="208"/>
      <c r="E118" s="208"/>
      <c r="F118" s="208"/>
      <c r="G118" s="208"/>
      <c r="H118" s="208"/>
      <c r="I118" s="213"/>
      <c r="J118" s="213"/>
      <c r="K118" s="211"/>
      <c r="L118" s="208"/>
      <c r="M118" s="213"/>
      <c r="N118" s="213"/>
      <c r="O118" s="213"/>
      <c r="P118" s="213"/>
      <c r="Q118" s="208"/>
      <c r="R118" s="208"/>
      <c r="S118" s="211"/>
      <c r="T118" s="208"/>
      <c r="U118" s="208"/>
      <c r="V118" s="211"/>
      <c r="W118" s="208"/>
      <c r="X118" s="208"/>
      <c r="Y118" s="213"/>
      <c r="Z118" s="213"/>
      <c r="AA118" s="213"/>
      <c r="AB118" s="208"/>
      <c r="AC118" s="209"/>
      <c r="AD118" s="217"/>
    </row>
    <row r="119" spans="1:30" s="188" customFormat="1" ht="13.2" customHeight="1" x14ac:dyDescent="0.25">
      <c r="A119" s="208"/>
      <c r="B119" s="211"/>
      <c r="C119" s="211"/>
      <c r="D119" s="208"/>
      <c r="E119" s="208"/>
      <c r="F119" s="208"/>
      <c r="G119" s="208"/>
      <c r="H119" s="208"/>
      <c r="I119" s="213"/>
      <c r="J119" s="213"/>
      <c r="K119" s="211"/>
      <c r="L119" s="208"/>
      <c r="M119" s="213"/>
      <c r="N119" s="213"/>
      <c r="O119" s="213"/>
      <c r="P119" s="213"/>
      <c r="Q119" s="208"/>
      <c r="R119" s="208"/>
      <c r="S119" s="211"/>
      <c r="T119" s="208"/>
      <c r="U119" s="208"/>
      <c r="V119" s="211"/>
      <c r="W119" s="208"/>
      <c r="X119" s="208"/>
      <c r="Y119" s="213"/>
      <c r="Z119" s="213"/>
      <c r="AA119" s="213"/>
      <c r="AB119" s="208"/>
      <c r="AC119" s="209"/>
      <c r="AD119" s="217"/>
    </row>
    <row r="120" spans="1:30" s="188" customFormat="1" ht="13.2" customHeight="1" x14ac:dyDescent="0.25">
      <c r="A120" s="208"/>
      <c r="B120" s="211"/>
      <c r="C120" s="211"/>
      <c r="D120" s="208"/>
      <c r="E120" s="208"/>
      <c r="F120" s="208"/>
      <c r="G120" s="208"/>
      <c r="H120" s="208"/>
      <c r="I120" s="213"/>
      <c r="J120" s="213"/>
      <c r="K120" s="211"/>
      <c r="L120" s="208"/>
      <c r="M120" s="213"/>
      <c r="N120" s="213"/>
      <c r="O120" s="213"/>
      <c r="P120" s="213"/>
      <c r="Q120" s="208"/>
      <c r="R120" s="208"/>
      <c r="S120" s="211"/>
      <c r="T120" s="208"/>
      <c r="U120" s="208"/>
      <c r="V120" s="211"/>
      <c r="W120" s="208"/>
      <c r="X120" s="208"/>
      <c r="Y120" s="213"/>
      <c r="Z120" s="213"/>
      <c r="AA120" s="213"/>
      <c r="AB120" s="208"/>
      <c r="AC120" s="209"/>
      <c r="AD120" s="217"/>
    </row>
    <row r="121" spans="1:30" s="188" customFormat="1" ht="13.2" customHeight="1" x14ac:dyDescent="0.25">
      <c r="A121" s="208"/>
      <c r="B121" s="211"/>
      <c r="C121" s="211"/>
      <c r="D121" s="208"/>
      <c r="E121" s="208"/>
      <c r="F121" s="208"/>
      <c r="G121" s="208"/>
      <c r="H121" s="208"/>
      <c r="I121" s="213"/>
      <c r="J121" s="213"/>
      <c r="K121" s="211"/>
      <c r="L121" s="208"/>
      <c r="M121" s="213"/>
      <c r="N121" s="213"/>
      <c r="O121" s="213"/>
      <c r="P121" s="213"/>
      <c r="Q121" s="208"/>
      <c r="R121" s="208"/>
      <c r="S121" s="211"/>
      <c r="T121" s="208"/>
      <c r="U121" s="208"/>
      <c r="V121" s="211"/>
      <c r="W121" s="208"/>
      <c r="X121" s="208"/>
      <c r="Y121" s="213"/>
      <c r="Z121" s="213"/>
      <c r="AA121" s="213"/>
      <c r="AB121" s="208"/>
      <c r="AC121" s="209"/>
      <c r="AD121" s="217"/>
    </row>
    <row r="122" spans="1:30" s="188" customFormat="1" ht="13.2" customHeight="1" x14ac:dyDescent="0.25">
      <c r="A122" s="208"/>
      <c r="B122" s="211"/>
      <c r="C122" s="211"/>
      <c r="D122" s="208"/>
      <c r="E122" s="208"/>
      <c r="F122" s="208"/>
      <c r="G122" s="208"/>
      <c r="H122" s="208"/>
      <c r="I122" s="213"/>
      <c r="J122" s="213"/>
      <c r="K122" s="211"/>
      <c r="L122" s="208"/>
      <c r="M122" s="213"/>
      <c r="N122" s="213"/>
      <c r="O122" s="213"/>
      <c r="P122" s="213"/>
      <c r="Q122" s="208"/>
      <c r="R122" s="208"/>
      <c r="S122" s="211"/>
      <c r="T122" s="208"/>
      <c r="U122" s="208"/>
      <c r="V122" s="211"/>
      <c r="W122" s="208"/>
      <c r="X122" s="208"/>
      <c r="Y122" s="213"/>
      <c r="Z122" s="213"/>
      <c r="AA122" s="213"/>
      <c r="AB122" s="208"/>
      <c r="AC122" s="209"/>
      <c r="AD122" s="217"/>
    </row>
    <row r="123" spans="1:30" s="188" customFormat="1" ht="13.2" customHeight="1" x14ac:dyDescent="0.25">
      <c r="A123" s="208"/>
      <c r="B123" s="211"/>
      <c r="C123" s="211"/>
      <c r="D123" s="208"/>
      <c r="E123" s="208"/>
      <c r="F123" s="208"/>
      <c r="G123" s="208"/>
      <c r="H123" s="208"/>
      <c r="I123" s="213"/>
      <c r="J123" s="213"/>
      <c r="K123" s="211"/>
      <c r="L123" s="208"/>
      <c r="M123" s="213"/>
      <c r="N123" s="213"/>
      <c r="O123" s="213"/>
      <c r="P123" s="213"/>
      <c r="Q123" s="208"/>
      <c r="R123" s="208"/>
      <c r="S123" s="211"/>
      <c r="T123" s="208"/>
      <c r="U123" s="208"/>
      <c r="V123" s="211"/>
      <c r="W123" s="208"/>
      <c r="X123" s="208"/>
      <c r="Y123" s="213"/>
      <c r="Z123" s="213"/>
      <c r="AA123" s="213"/>
      <c r="AB123" s="208"/>
      <c r="AC123" s="209"/>
      <c r="AD123" s="217"/>
    </row>
    <row r="124" spans="1:30" s="188" customFormat="1" ht="13.2" customHeight="1" x14ac:dyDescent="0.25">
      <c r="A124" s="208"/>
      <c r="B124" s="211"/>
      <c r="C124" s="211"/>
      <c r="D124" s="208"/>
      <c r="E124" s="208"/>
      <c r="F124" s="208"/>
      <c r="G124" s="208"/>
      <c r="H124" s="208"/>
      <c r="I124" s="213"/>
      <c r="J124" s="213"/>
      <c r="K124" s="211"/>
      <c r="L124" s="208"/>
      <c r="M124" s="213"/>
      <c r="N124" s="213"/>
      <c r="O124" s="213"/>
      <c r="P124" s="213"/>
      <c r="Q124" s="208"/>
      <c r="R124" s="208"/>
      <c r="S124" s="211"/>
      <c r="T124" s="208"/>
      <c r="U124" s="208"/>
      <c r="V124" s="211"/>
      <c r="W124" s="208"/>
      <c r="X124" s="208"/>
      <c r="Y124" s="213"/>
      <c r="Z124" s="213"/>
      <c r="AA124" s="213"/>
      <c r="AB124" s="208"/>
      <c r="AC124" s="209"/>
      <c r="AD124" s="217"/>
    </row>
    <row r="125" spans="1:30" s="188" customFormat="1" ht="13.2" customHeight="1" x14ac:dyDescent="0.25">
      <c r="A125" s="208"/>
      <c r="B125" s="211"/>
      <c r="C125" s="211"/>
      <c r="D125" s="208"/>
      <c r="E125" s="208"/>
      <c r="F125" s="208"/>
      <c r="G125" s="208"/>
      <c r="H125" s="208"/>
      <c r="I125" s="213"/>
      <c r="J125" s="213"/>
      <c r="K125" s="211"/>
      <c r="L125" s="208"/>
      <c r="M125" s="213"/>
      <c r="N125" s="213"/>
      <c r="O125" s="213"/>
      <c r="P125" s="213"/>
      <c r="Q125" s="208"/>
      <c r="R125" s="208"/>
      <c r="S125" s="211"/>
      <c r="T125" s="208"/>
      <c r="U125" s="208"/>
      <c r="V125" s="211"/>
      <c r="W125" s="208"/>
      <c r="X125" s="208"/>
      <c r="Y125" s="213"/>
      <c r="Z125" s="213"/>
      <c r="AA125" s="213"/>
      <c r="AB125" s="208"/>
      <c r="AC125" s="209"/>
      <c r="AD125" s="217"/>
    </row>
    <row r="126" spans="1:30" s="188" customFormat="1" ht="13.2" customHeight="1" x14ac:dyDescent="0.25">
      <c r="A126" s="208"/>
      <c r="B126" s="211"/>
      <c r="C126" s="211"/>
      <c r="D126" s="208"/>
      <c r="E126" s="208"/>
      <c r="F126" s="208"/>
      <c r="G126" s="208"/>
      <c r="H126" s="208"/>
      <c r="I126" s="213"/>
      <c r="J126" s="213"/>
      <c r="K126" s="211"/>
      <c r="L126" s="208"/>
      <c r="M126" s="213"/>
      <c r="N126" s="213"/>
      <c r="O126" s="213"/>
      <c r="P126" s="213"/>
      <c r="Q126" s="208"/>
      <c r="R126" s="208"/>
      <c r="S126" s="211"/>
      <c r="T126" s="208"/>
      <c r="U126" s="208"/>
      <c r="V126" s="211"/>
      <c r="W126" s="208"/>
      <c r="X126" s="208"/>
      <c r="Y126" s="213"/>
      <c r="Z126" s="213"/>
      <c r="AA126" s="213"/>
      <c r="AB126" s="208"/>
      <c r="AC126" s="209"/>
      <c r="AD126" s="217"/>
    </row>
    <row r="127" spans="1:30" s="188" customFormat="1" ht="13.2" customHeight="1" x14ac:dyDescent="0.25">
      <c r="A127" s="208"/>
      <c r="B127" s="211"/>
      <c r="C127" s="211"/>
      <c r="D127" s="208"/>
      <c r="E127" s="208"/>
      <c r="F127" s="208"/>
      <c r="G127" s="208"/>
      <c r="H127" s="208"/>
      <c r="I127" s="213"/>
      <c r="J127" s="213"/>
      <c r="K127" s="211"/>
      <c r="L127" s="208"/>
      <c r="M127" s="213"/>
      <c r="N127" s="213"/>
      <c r="O127" s="213"/>
      <c r="P127" s="213"/>
      <c r="Q127" s="208"/>
      <c r="R127" s="208"/>
      <c r="S127" s="211"/>
      <c r="T127" s="208"/>
      <c r="U127" s="208"/>
      <c r="V127" s="211"/>
      <c r="W127" s="208"/>
      <c r="X127" s="208"/>
      <c r="Y127" s="213"/>
      <c r="Z127" s="213"/>
      <c r="AA127" s="213"/>
      <c r="AB127" s="208"/>
      <c r="AC127" s="209"/>
      <c r="AD127" s="217"/>
    </row>
    <row r="128" spans="1:30" s="188" customFormat="1" ht="13.2" customHeight="1" x14ac:dyDescent="0.25">
      <c r="A128" s="208"/>
      <c r="B128" s="211"/>
      <c r="C128" s="211"/>
      <c r="D128" s="208"/>
      <c r="E128" s="208"/>
      <c r="F128" s="208"/>
      <c r="G128" s="208"/>
      <c r="H128" s="208"/>
      <c r="I128" s="213"/>
      <c r="J128" s="213"/>
      <c r="K128" s="211"/>
      <c r="L128" s="208"/>
      <c r="M128" s="213"/>
      <c r="N128" s="213"/>
      <c r="O128" s="213"/>
      <c r="P128" s="213"/>
      <c r="Q128" s="208"/>
      <c r="R128" s="208"/>
      <c r="S128" s="211"/>
      <c r="T128" s="208"/>
      <c r="U128" s="208"/>
      <c r="V128" s="211"/>
      <c r="W128" s="208"/>
      <c r="X128" s="208"/>
      <c r="Y128" s="213"/>
      <c r="Z128" s="213"/>
      <c r="AA128" s="213"/>
      <c r="AB128" s="208"/>
      <c r="AC128" s="209"/>
      <c r="AD128" s="217"/>
    </row>
    <row r="129" spans="1:30" s="188" customFormat="1" ht="13.2" customHeight="1" x14ac:dyDescent="0.25">
      <c r="A129" s="208"/>
      <c r="B129" s="211"/>
      <c r="C129" s="211"/>
      <c r="D129" s="208"/>
      <c r="E129" s="208"/>
      <c r="F129" s="208"/>
      <c r="G129" s="208"/>
      <c r="H129" s="208"/>
      <c r="I129" s="213"/>
      <c r="J129" s="213"/>
      <c r="K129" s="211"/>
      <c r="L129" s="208"/>
      <c r="M129" s="213"/>
      <c r="N129" s="213"/>
      <c r="O129" s="213"/>
      <c r="P129" s="213"/>
      <c r="Q129" s="208"/>
      <c r="R129" s="208"/>
      <c r="S129" s="211"/>
      <c r="T129" s="208"/>
      <c r="U129" s="208"/>
      <c r="V129" s="211"/>
      <c r="W129" s="208"/>
      <c r="X129" s="208"/>
      <c r="Y129" s="213"/>
      <c r="Z129" s="213"/>
      <c r="AA129" s="213"/>
      <c r="AB129" s="208"/>
      <c r="AC129" s="209"/>
      <c r="AD129" s="217"/>
    </row>
    <row r="130" spans="1:30" s="188" customFormat="1" ht="13.2" customHeight="1" x14ac:dyDescent="0.25">
      <c r="A130" s="208"/>
      <c r="B130" s="211"/>
      <c r="C130" s="211"/>
      <c r="D130" s="208"/>
      <c r="E130" s="208"/>
      <c r="F130" s="208"/>
      <c r="G130" s="208"/>
      <c r="H130" s="208"/>
      <c r="I130" s="213"/>
      <c r="J130" s="213"/>
      <c r="K130" s="211"/>
      <c r="L130" s="208"/>
      <c r="M130" s="213"/>
      <c r="N130" s="213"/>
      <c r="O130" s="213"/>
      <c r="P130" s="213"/>
      <c r="Q130" s="208"/>
      <c r="R130" s="208"/>
      <c r="S130" s="211"/>
      <c r="T130" s="208"/>
      <c r="U130" s="208"/>
      <c r="V130" s="211"/>
      <c r="W130" s="208"/>
      <c r="X130" s="208"/>
      <c r="Y130" s="213"/>
      <c r="Z130" s="213"/>
      <c r="AA130" s="213"/>
      <c r="AB130" s="208"/>
      <c r="AC130" s="209"/>
      <c r="AD130" s="217"/>
    </row>
    <row r="131" spans="1:30" s="188" customFormat="1" ht="13.2" customHeight="1" x14ac:dyDescent="0.25">
      <c r="A131" s="208"/>
      <c r="B131" s="211"/>
      <c r="C131" s="211"/>
      <c r="D131" s="208"/>
      <c r="E131" s="208"/>
      <c r="F131" s="208"/>
      <c r="G131" s="208"/>
      <c r="H131" s="208"/>
      <c r="I131" s="213"/>
      <c r="J131" s="213"/>
      <c r="K131" s="211"/>
      <c r="L131" s="208"/>
      <c r="M131" s="213"/>
      <c r="N131" s="213"/>
      <c r="O131" s="213"/>
      <c r="P131" s="213"/>
      <c r="Q131" s="208"/>
      <c r="R131" s="208"/>
      <c r="S131" s="211"/>
      <c r="T131" s="208"/>
      <c r="U131" s="208"/>
      <c r="V131" s="211"/>
      <c r="W131" s="208"/>
      <c r="X131" s="208"/>
      <c r="Y131" s="213"/>
      <c r="Z131" s="213"/>
      <c r="AA131" s="213"/>
      <c r="AB131" s="208"/>
      <c r="AC131" s="209"/>
      <c r="AD131" s="217"/>
    </row>
    <row r="132" spans="1:30" s="188" customFormat="1" ht="13.2" customHeight="1" x14ac:dyDescent="0.25">
      <c r="A132" s="208"/>
      <c r="B132" s="211"/>
      <c r="C132" s="211"/>
      <c r="D132" s="208"/>
      <c r="E132" s="208"/>
      <c r="F132" s="208"/>
      <c r="G132" s="208"/>
      <c r="H132" s="208"/>
      <c r="I132" s="213"/>
      <c r="J132" s="213"/>
      <c r="K132" s="211"/>
      <c r="L132" s="208"/>
      <c r="M132" s="213"/>
      <c r="N132" s="213"/>
      <c r="O132" s="213"/>
      <c r="P132" s="213"/>
      <c r="Q132" s="208"/>
      <c r="R132" s="208"/>
      <c r="S132" s="211"/>
      <c r="T132" s="208"/>
      <c r="U132" s="208"/>
      <c r="V132" s="211"/>
      <c r="W132" s="208"/>
      <c r="X132" s="208"/>
      <c r="Y132" s="213"/>
      <c r="Z132" s="213"/>
      <c r="AA132" s="213"/>
      <c r="AB132" s="208"/>
      <c r="AC132" s="209"/>
      <c r="AD132" s="217"/>
    </row>
    <row r="133" spans="1:30" s="188" customFormat="1" ht="13.2" customHeight="1" x14ac:dyDescent="0.25">
      <c r="A133" s="208"/>
      <c r="B133" s="211"/>
      <c r="C133" s="211"/>
      <c r="D133" s="208"/>
      <c r="E133" s="208"/>
      <c r="F133" s="208"/>
      <c r="G133" s="208"/>
      <c r="H133" s="208"/>
      <c r="I133" s="213"/>
      <c r="J133" s="213"/>
      <c r="K133" s="211"/>
      <c r="L133" s="208"/>
      <c r="M133" s="213"/>
      <c r="N133" s="213"/>
      <c r="O133" s="213"/>
      <c r="P133" s="213"/>
      <c r="Q133" s="208"/>
      <c r="R133" s="208"/>
      <c r="S133" s="211"/>
      <c r="T133" s="208"/>
      <c r="U133" s="208"/>
      <c r="V133" s="211"/>
      <c r="W133" s="208"/>
      <c r="X133" s="208"/>
      <c r="Y133" s="213"/>
      <c r="Z133" s="213"/>
      <c r="AA133" s="213"/>
      <c r="AB133" s="208"/>
      <c r="AC133" s="209"/>
      <c r="AD133" s="217"/>
    </row>
    <row r="134" spans="1:30" s="188" customFormat="1" ht="13.2" customHeight="1" x14ac:dyDescent="0.25">
      <c r="A134" s="208"/>
      <c r="B134" s="211"/>
      <c r="C134" s="211"/>
      <c r="D134" s="208"/>
      <c r="E134" s="208"/>
      <c r="F134" s="208"/>
      <c r="G134" s="208"/>
      <c r="H134" s="208"/>
      <c r="I134" s="213"/>
      <c r="J134" s="213"/>
      <c r="K134" s="211"/>
      <c r="L134" s="208"/>
      <c r="M134" s="213"/>
      <c r="N134" s="213"/>
      <c r="O134" s="213"/>
      <c r="P134" s="213"/>
      <c r="Q134" s="208"/>
      <c r="R134" s="208"/>
      <c r="S134" s="211"/>
      <c r="T134" s="208"/>
      <c r="U134" s="208"/>
      <c r="V134" s="211"/>
      <c r="W134" s="208"/>
      <c r="X134" s="208"/>
      <c r="Y134" s="213"/>
      <c r="Z134" s="213"/>
      <c r="AA134" s="213"/>
      <c r="AB134" s="208"/>
      <c r="AC134" s="209"/>
      <c r="AD134" s="217"/>
    </row>
    <row r="135" spans="1:30" s="188" customFormat="1" ht="13.2" customHeight="1" x14ac:dyDescent="0.25">
      <c r="A135" s="208"/>
      <c r="B135" s="211"/>
      <c r="C135" s="211"/>
      <c r="D135" s="208"/>
      <c r="E135" s="208"/>
      <c r="F135" s="208"/>
      <c r="G135" s="208"/>
      <c r="H135" s="208"/>
      <c r="I135" s="213"/>
      <c r="J135" s="213"/>
      <c r="K135" s="211"/>
      <c r="L135" s="208"/>
      <c r="M135" s="213"/>
      <c r="N135" s="213"/>
      <c r="O135" s="213"/>
      <c r="P135" s="213"/>
      <c r="Q135" s="208"/>
      <c r="R135" s="208"/>
      <c r="S135" s="211"/>
      <c r="T135" s="208"/>
      <c r="U135" s="208"/>
      <c r="V135" s="211"/>
      <c r="W135" s="208"/>
      <c r="X135" s="208"/>
      <c r="Y135" s="213"/>
      <c r="Z135" s="213"/>
      <c r="AA135" s="213"/>
      <c r="AB135" s="208"/>
      <c r="AC135" s="209"/>
      <c r="AD135" s="217"/>
    </row>
    <row r="136" spans="1:30" s="188" customFormat="1" ht="13.2" customHeight="1" x14ac:dyDescent="0.25">
      <c r="A136" s="208"/>
      <c r="B136" s="211"/>
      <c r="C136" s="211"/>
      <c r="D136" s="208"/>
      <c r="E136" s="208"/>
      <c r="F136" s="208"/>
      <c r="G136" s="208"/>
      <c r="H136" s="208"/>
      <c r="I136" s="213"/>
      <c r="J136" s="213"/>
      <c r="K136" s="211"/>
      <c r="L136" s="208"/>
      <c r="M136" s="213"/>
      <c r="N136" s="213"/>
      <c r="O136" s="213"/>
      <c r="P136" s="213"/>
      <c r="Q136" s="208"/>
      <c r="R136" s="208"/>
      <c r="S136" s="211"/>
      <c r="T136" s="208"/>
      <c r="U136" s="208"/>
      <c r="V136" s="211"/>
      <c r="W136" s="208"/>
      <c r="X136" s="208"/>
      <c r="Y136" s="213"/>
      <c r="Z136" s="213"/>
      <c r="AA136" s="213"/>
      <c r="AB136" s="208"/>
      <c r="AC136" s="209"/>
      <c r="AD136" s="217"/>
    </row>
    <row r="137" spans="1:30" s="188" customFormat="1" ht="13.2" customHeight="1" x14ac:dyDescent="0.25">
      <c r="A137" s="208"/>
      <c r="B137" s="211"/>
      <c r="C137" s="211"/>
      <c r="D137" s="208"/>
      <c r="E137" s="208"/>
      <c r="F137" s="208"/>
      <c r="G137" s="208"/>
      <c r="H137" s="208"/>
      <c r="I137" s="213"/>
      <c r="J137" s="213"/>
      <c r="K137" s="211"/>
      <c r="L137" s="208"/>
      <c r="M137" s="213"/>
      <c r="N137" s="213"/>
      <c r="O137" s="213"/>
      <c r="P137" s="213"/>
      <c r="Q137" s="208"/>
      <c r="R137" s="208"/>
      <c r="S137" s="211"/>
      <c r="T137" s="208"/>
      <c r="U137" s="208"/>
      <c r="V137" s="211"/>
      <c r="W137" s="208"/>
      <c r="X137" s="208"/>
      <c r="Y137" s="213"/>
      <c r="Z137" s="213"/>
      <c r="AA137" s="213"/>
      <c r="AB137" s="208"/>
      <c r="AC137" s="209"/>
      <c r="AD137" s="217"/>
    </row>
    <row r="138" spans="1:30" s="188" customFormat="1" ht="13.2" customHeight="1" x14ac:dyDescent="0.25">
      <c r="A138" s="208"/>
      <c r="B138" s="211"/>
      <c r="C138" s="211"/>
      <c r="D138" s="208"/>
      <c r="E138" s="208"/>
      <c r="F138" s="208"/>
      <c r="G138" s="208"/>
      <c r="H138" s="208"/>
      <c r="I138" s="213"/>
      <c r="J138" s="213"/>
      <c r="K138" s="211"/>
      <c r="L138" s="208"/>
      <c r="M138" s="213"/>
      <c r="N138" s="213"/>
      <c r="O138" s="213"/>
      <c r="P138" s="213"/>
      <c r="Q138" s="208"/>
      <c r="R138" s="208"/>
      <c r="S138" s="211"/>
      <c r="T138" s="208"/>
      <c r="U138" s="208"/>
      <c r="V138" s="211"/>
      <c r="W138" s="208"/>
      <c r="X138" s="208"/>
      <c r="Y138" s="213"/>
      <c r="Z138" s="213"/>
      <c r="AA138" s="213"/>
      <c r="AB138" s="208"/>
      <c r="AC138" s="209"/>
      <c r="AD138" s="217"/>
    </row>
    <row r="139" spans="1:30" s="188" customFormat="1" ht="13.2" customHeight="1" x14ac:dyDescent="0.25">
      <c r="A139" s="208"/>
      <c r="B139" s="211"/>
      <c r="C139" s="211"/>
      <c r="D139" s="208"/>
      <c r="E139" s="208"/>
      <c r="F139" s="208"/>
      <c r="G139" s="208"/>
      <c r="H139" s="208"/>
      <c r="I139" s="213"/>
      <c r="J139" s="213"/>
      <c r="K139" s="211"/>
      <c r="L139" s="208"/>
      <c r="M139" s="213"/>
      <c r="N139" s="213"/>
      <c r="O139" s="213"/>
      <c r="P139" s="213"/>
      <c r="Q139" s="208"/>
      <c r="R139" s="208"/>
      <c r="S139" s="211"/>
      <c r="T139" s="208"/>
      <c r="U139" s="208"/>
      <c r="V139" s="211"/>
      <c r="W139" s="208"/>
      <c r="X139" s="208"/>
      <c r="Y139" s="213"/>
      <c r="Z139" s="213"/>
      <c r="AA139" s="213"/>
      <c r="AB139" s="208"/>
      <c r="AC139" s="209"/>
      <c r="AD139" s="217"/>
    </row>
    <row r="140" spans="1:30" s="188" customFormat="1" ht="13.2" customHeight="1" x14ac:dyDescent="0.25">
      <c r="A140" s="208"/>
      <c r="B140" s="211"/>
      <c r="C140" s="211"/>
      <c r="D140" s="208"/>
      <c r="E140" s="208"/>
      <c r="F140" s="208"/>
      <c r="G140" s="208"/>
      <c r="H140" s="208"/>
      <c r="I140" s="213"/>
      <c r="J140" s="213"/>
      <c r="K140" s="211"/>
      <c r="L140" s="208"/>
      <c r="M140" s="213"/>
      <c r="N140" s="213"/>
      <c r="O140" s="213"/>
      <c r="P140" s="213"/>
      <c r="Q140" s="208"/>
      <c r="R140" s="208"/>
      <c r="S140" s="211"/>
      <c r="T140" s="208"/>
      <c r="U140" s="208"/>
      <c r="V140" s="211"/>
      <c r="W140" s="208"/>
      <c r="X140" s="208"/>
      <c r="Y140" s="213"/>
      <c r="Z140" s="213"/>
      <c r="AA140" s="213"/>
      <c r="AB140" s="208"/>
      <c r="AC140" s="209"/>
      <c r="AD140" s="217"/>
    </row>
    <row r="141" spans="1:30" s="188" customFormat="1" ht="13.2" customHeight="1" x14ac:dyDescent="0.25">
      <c r="A141" s="208"/>
      <c r="B141" s="211"/>
      <c r="C141" s="211"/>
      <c r="D141" s="208"/>
      <c r="E141" s="208"/>
      <c r="F141" s="208"/>
      <c r="G141" s="208"/>
      <c r="H141" s="208"/>
      <c r="I141" s="213"/>
      <c r="J141" s="213"/>
      <c r="K141" s="211"/>
      <c r="L141" s="208"/>
      <c r="M141" s="213"/>
      <c r="N141" s="213"/>
      <c r="O141" s="213"/>
      <c r="P141" s="213"/>
      <c r="Q141" s="208"/>
      <c r="R141" s="208"/>
      <c r="S141" s="211"/>
      <c r="T141" s="208"/>
      <c r="U141" s="208"/>
      <c r="V141" s="211"/>
      <c r="W141" s="208"/>
      <c r="X141" s="208"/>
      <c r="Y141" s="213"/>
      <c r="Z141" s="213"/>
      <c r="AA141" s="213"/>
      <c r="AB141" s="208"/>
      <c r="AC141" s="209"/>
      <c r="AD141" s="217"/>
    </row>
    <row r="142" spans="1:30" s="188" customFormat="1" ht="13.2" customHeight="1" x14ac:dyDescent="0.25">
      <c r="A142" s="208"/>
      <c r="B142" s="211"/>
      <c r="C142" s="211"/>
      <c r="D142" s="208"/>
      <c r="E142" s="208"/>
      <c r="F142" s="208"/>
      <c r="G142" s="208"/>
      <c r="H142" s="208"/>
      <c r="I142" s="213"/>
      <c r="J142" s="213"/>
      <c r="K142" s="211"/>
      <c r="L142" s="208"/>
      <c r="M142" s="213"/>
      <c r="N142" s="213"/>
      <c r="O142" s="213"/>
      <c r="P142" s="213"/>
      <c r="Q142" s="208"/>
      <c r="R142" s="208"/>
      <c r="S142" s="211"/>
      <c r="T142" s="208"/>
      <c r="U142" s="208"/>
      <c r="V142" s="211"/>
      <c r="W142" s="208"/>
      <c r="X142" s="208"/>
      <c r="Y142" s="213"/>
      <c r="Z142" s="213"/>
      <c r="AA142" s="213"/>
      <c r="AB142" s="208"/>
      <c r="AC142" s="209"/>
      <c r="AD142" s="217"/>
    </row>
    <row r="143" spans="1:30" s="188" customFormat="1" ht="13.2" customHeight="1" x14ac:dyDescent="0.25">
      <c r="A143" s="208"/>
      <c r="B143" s="211"/>
      <c r="C143" s="211"/>
      <c r="D143" s="208"/>
      <c r="E143" s="208"/>
      <c r="F143" s="208"/>
      <c r="G143" s="208"/>
      <c r="H143" s="208"/>
      <c r="I143" s="213"/>
      <c r="J143" s="213"/>
      <c r="K143" s="211"/>
      <c r="L143" s="208"/>
      <c r="M143" s="213"/>
      <c r="N143" s="213"/>
      <c r="O143" s="213"/>
      <c r="P143" s="213"/>
      <c r="Q143" s="208"/>
      <c r="R143" s="208"/>
      <c r="S143" s="211"/>
      <c r="T143" s="208"/>
      <c r="U143" s="208"/>
      <c r="V143" s="211"/>
      <c r="W143" s="208"/>
      <c r="X143" s="208"/>
      <c r="Y143" s="213"/>
      <c r="Z143" s="213"/>
      <c r="AA143" s="213"/>
      <c r="AB143" s="208"/>
      <c r="AC143" s="209"/>
      <c r="AD143" s="217"/>
    </row>
    <row r="144" spans="1:30" s="188" customFormat="1" ht="13.2" customHeight="1" x14ac:dyDescent="0.25">
      <c r="A144" s="208"/>
      <c r="B144" s="211"/>
      <c r="C144" s="211"/>
      <c r="D144" s="208"/>
      <c r="E144" s="208"/>
      <c r="F144" s="208"/>
      <c r="G144" s="208"/>
      <c r="H144" s="208"/>
      <c r="I144" s="213"/>
      <c r="J144" s="213"/>
      <c r="K144" s="211"/>
      <c r="L144" s="208"/>
      <c r="M144" s="213"/>
      <c r="N144" s="213"/>
      <c r="O144" s="213"/>
      <c r="P144" s="213"/>
      <c r="Q144" s="208"/>
      <c r="R144" s="208"/>
      <c r="S144" s="211"/>
      <c r="T144" s="208"/>
      <c r="U144" s="208"/>
      <c r="V144" s="211"/>
      <c r="W144" s="208"/>
      <c r="X144" s="208"/>
      <c r="Y144" s="213"/>
      <c r="Z144" s="213"/>
      <c r="AA144" s="213"/>
      <c r="AB144" s="208"/>
      <c r="AC144" s="209"/>
      <c r="AD144" s="217"/>
    </row>
    <row r="145" spans="1:30" s="188" customFormat="1" ht="13.2" customHeight="1" x14ac:dyDescent="0.25">
      <c r="A145" s="208"/>
      <c r="B145" s="211"/>
      <c r="C145" s="211"/>
      <c r="D145" s="208"/>
      <c r="E145" s="208"/>
      <c r="F145" s="208"/>
      <c r="G145" s="208"/>
      <c r="H145" s="208"/>
      <c r="I145" s="213"/>
      <c r="J145" s="213"/>
      <c r="K145" s="211"/>
      <c r="L145" s="208"/>
      <c r="M145" s="213"/>
      <c r="N145" s="213"/>
      <c r="O145" s="213"/>
      <c r="P145" s="213"/>
      <c r="Q145" s="208"/>
      <c r="R145" s="208"/>
      <c r="S145" s="211"/>
      <c r="T145" s="208"/>
      <c r="U145" s="208"/>
      <c r="V145" s="211"/>
      <c r="W145" s="208"/>
      <c r="X145" s="208"/>
      <c r="Y145" s="213"/>
      <c r="Z145" s="213"/>
      <c r="AA145" s="213"/>
      <c r="AB145" s="208"/>
      <c r="AC145" s="209"/>
      <c r="AD145" s="217"/>
    </row>
    <row r="146" spans="1:30" s="188" customFormat="1" ht="13.2" customHeight="1" x14ac:dyDescent="0.25">
      <c r="A146" s="208"/>
      <c r="B146" s="211"/>
      <c r="C146" s="211"/>
      <c r="D146" s="208"/>
      <c r="E146" s="208"/>
      <c r="F146" s="208"/>
      <c r="G146" s="208"/>
      <c r="H146" s="208"/>
      <c r="I146" s="213"/>
      <c r="J146" s="213"/>
      <c r="K146" s="211"/>
      <c r="L146" s="208"/>
      <c r="M146" s="213"/>
      <c r="N146" s="213"/>
      <c r="O146" s="213"/>
      <c r="P146" s="213"/>
      <c r="Q146" s="208"/>
      <c r="R146" s="208"/>
      <c r="S146" s="211"/>
      <c r="T146" s="208"/>
      <c r="U146" s="208"/>
      <c r="V146" s="211"/>
      <c r="W146" s="208"/>
      <c r="X146" s="208"/>
      <c r="Y146" s="213"/>
      <c r="Z146" s="213"/>
      <c r="AA146" s="213"/>
      <c r="AB146" s="208"/>
      <c r="AC146" s="209"/>
      <c r="AD146" s="217"/>
    </row>
    <row r="147" spans="1:30" s="188" customFormat="1" ht="13.2" customHeight="1" x14ac:dyDescent="0.25">
      <c r="A147" s="208"/>
      <c r="B147" s="211"/>
      <c r="C147" s="211"/>
      <c r="D147" s="208"/>
      <c r="E147" s="208"/>
      <c r="F147" s="208"/>
      <c r="G147" s="208"/>
      <c r="H147" s="208"/>
      <c r="I147" s="213"/>
      <c r="J147" s="213"/>
      <c r="K147" s="211"/>
      <c r="L147" s="208"/>
      <c r="M147" s="213"/>
      <c r="N147" s="213"/>
      <c r="O147" s="213"/>
      <c r="P147" s="213"/>
      <c r="Q147" s="208"/>
      <c r="R147" s="208"/>
      <c r="S147" s="211"/>
      <c r="T147" s="208"/>
      <c r="U147" s="208"/>
      <c r="V147" s="211"/>
      <c r="W147" s="208"/>
      <c r="X147" s="208"/>
      <c r="Y147" s="213"/>
      <c r="Z147" s="213"/>
      <c r="AA147" s="213"/>
      <c r="AB147" s="208"/>
      <c r="AC147" s="209"/>
      <c r="AD147" s="217"/>
    </row>
    <row r="148" spans="1:30" s="188" customFormat="1" ht="13.2" customHeight="1" x14ac:dyDescent="0.25">
      <c r="A148" s="208"/>
      <c r="B148" s="211"/>
      <c r="C148" s="211"/>
      <c r="D148" s="208"/>
      <c r="E148" s="208"/>
      <c r="F148" s="208"/>
      <c r="G148" s="208"/>
      <c r="H148" s="208"/>
      <c r="I148" s="213"/>
      <c r="J148" s="213"/>
      <c r="K148" s="211"/>
      <c r="L148" s="208"/>
      <c r="M148" s="213"/>
      <c r="N148" s="213"/>
      <c r="O148" s="213"/>
      <c r="P148" s="213"/>
      <c r="Q148" s="208"/>
      <c r="R148" s="208"/>
      <c r="S148" s="211"/>
      <c r="T148" s="208"/>
      <c r="U148" s="208"/>
      <c r="V148" s="211"/>
      <c r="W148" s="208"/>
      <c r="X148" s="208"/>
      <c r="Y148" s="213"/>
      <c r="Z148" s="213"/>
      <c r="AA148" s="213"/>
      <c r="AB148" s="208"/>
      <c r="AC148" s="209"/>
      <c r="AD148" s="217"/>
    </row>
    <row r="149" spans="1:30" s="188" customFormat="1" ht="13.2" customHeight="1" x14ac:dyDescent="0.25">
      <c r="A149" s="208"/>
      <c r="B149" s="211"/>
      <c r="C149" s="211"/>
      <c r="D149" s="208"/>
      <c r="E149" s="208"/>
      <c r="F149" s="208"/>
      <c r="G149" s="208"/>
      <c r="H149" s="208"/>
      <c r="I149" s="213"/>
      <c r="J149" s="213"/>
      <c r="K149" s="211"/>
      <c r="L149" s="208"/>
      <c r="M149" s="213"/>
      <c r="N149" s="213"/>
      <c r="O149" s="213"/>
      <c r="P149" s="213"/>
      <c r="Q149" s="208"/>
      <c r="R149" s="208"/>
      <c r="S149" s="211"/>
      <c r="T149" s="208"/>
      <c r="U149" s="208"/>
      <c r="V149" s="211"/>
      <c r="W149" s="208"/>
      <c r="X149" s="208"/>
      <c r="Y149" s="213"/>
      <c r="Z149" s="213"/>
      <c r="AA149" s="213"/>
      <c r="AB149" s="208"/>
      <c r="AC149" s="209"/>
      <c r="AD149" s="217"/>
    </row>
    <row r="150" spans="1:30" s="188" customFormat="1" ht="13.2" customHeight="1" x14ac:dyDescent="0.25">
      <c r="A150" s="208"/>
      <c r="B150" s="211"/>
      <c r="C150" s="211"/>
      <c r="D150" s="208"/>
      <c r="E150" s="208"/>
      <c r="F150" s="208"/>
      <c r="G150" s="208"/>
      <c r="H150" s="208"/>
      <c r="I150" s="213"/>
      <c r="J150" s="213"/>
      <c r="K150" s="211"/>
      <c r="L150" s="208"/>
      <c r="M150" s="213"/>
      <c r="N150" s="213"/>
      <c r="O150" s="213"/>
      <c r="P150" s="213"/>
      <c r="Q150" s="208"/>
      <c r="R150" s="208"/>
      <c r="S150" s="211"/>
      <c r="T150" s="208"/>
      <c r="U150" s="208"/>
      <c r="V150" s="211"/>
      <c r="W150" s="208"/>
      <c r="X150" s="208"/>
      <c r="Y150" s="213"/>
      <c r="Z150" s="213"/>
      <c r="AA150" s="213"/>
      <c r="AB150" s="208"/>
      <c r="AC150" s="209"/>
      <c r="AD150" s="217"/>
    </row>
    <row r="151" spans="1:30" s="188" customFormat="1" ht="13.2" customHeight="1" x14ac:dyDescent="0.25">
      <c r="A151" s="208"/>
      <c r="B151" s="211"/>
      <c r="C151" s="211"/>
      <c r="D151" s="208"/>
      <c r="E151" s="208"/>
      <c r="F151" s="208"/>
      <c r="G151" s="208"/>
      <c r="H151" s="208"/>
      <c r="I151" s="213"/>
      <c r="J151" s="213"/>
      <c r="K151" s="211"/>
      <c r="L151" s="208"/>
      <c r="M151" s="213"/>
      <c r="N151" s="213"/>
      <c r="O151" s="213"/>
      <c r="P151" s="213"/>
      <c r="Q151" s="208"/>
      <c r="R151" s="208"/>
      <c r="S151" s="211"/>
      <c r="T151" s="208"/>
      <c r="U151" s="208"/>
      <c r="V151" s="211"/>
      <c r="W151" s="208"/>
      <c r="X151" s="208"/>
      <c r="Y151" s="213"/>
      <c r="Z151" s="213"/>
      <c r="AA151" s="213"/>
      <c r="AB151" s="208"/>
      <c r="AC151" s="209"/>
      <c r="AD151" s="217"/>
    </row>
    <row r="152" spans="1:30" s="188" customFormat="1" ht="13.2" customHeight="1" x14ac:dyDescent="0.25">
      <c r="A152" s="208"/>
      <c r="B152" s="211"/>
      <c r="C152" s="211"/>
      <c r="D152" s="208"/>
      <c r="E152" s="208"/>
      <c r="F152" s="208"/>
      <c r="G152" s="208"/>
      <c r="H152" s="208"/>
      <c r="I152" s="213"/>
      <c r="J152" s="213"/>
      <c r="K152" s="211"/>
      <c r="L152" s="208"/>
      <c r="M152" s="213"/>
      <c r="N152" s="213"/>
      <c r="O152" s="213"/>
      <c r="P152" s="213"/>
      <c r="Q152" s="208"/>
      <c r="R152" s="208"/>
      <c r="S152" s="211"/>
      <c r="T152" s="208"/>
      <c r="U152" s="208"/>
      <c r="V152" s="211"/>
      <c r="W152" s="208"/>
      <c r="X152" s="208"/>
      <c r="Y152" s="213"/>
      <c r="Z152" s="213"/>
      <c r="AA152" s="213"/>
      <c r="AB152" s="208"/>
      <c r="AC152" s="209"/>
      <c r="AD152" s="217"/>
    </row>
    <row r="153" spans="1:30" s="188" customFormat="1" ht="13.2" customHeight="1" x14ac:dyDescent="0.25">
      <c r="A153" s="208"/>
      <c r="B153" s="211"/>
      <c r="C153" s="211"/>
      <c r="D153" s="208"/>
      <c r="E153" s="208"/>
      <c r="F153" s="208"/>
      <c r="G153" s="208"/>
      <c r="H153" s="208"/>
      <c r="I153" s="213"/>
      <c r="J153" s="213"/>
      <c r="K153" s="211"/>
      <c r="L153" s="208"/>
      <c r="M153" s="213"/>
      <c r="N153" s="213"/>
      <c r="O153" s="213"/>
      <c r="P153" s="213"/>
      <c r="Q153" s="208"/>
      <c r="R153" s="208"/>
      <c r="S153" s="211"/>
      <c r="T153" s="208"/>
      <c r="U153" s="208"/>
      <c r="V153" s="211"/>
      <c r="W153" s="208"/>
      <c r="X153" s="208"/>
      <c r="Y153" s="213"/>
      <c r="Z153" s="213"/>
      <c r="AA153" s="213"/>
      <c r="AB153" s="208"/>
      <c r="AC153" s="209"/>
      <c r="AD153" s="217"/>
    </row>
    <row r="154" spans="1:30" s="188" customFormat="1" ht="13.2" customHeight="1" x14ac:dyDescent="0.25">
      <c r="A154" s="208"/>
      <c r="B154" s="211"/>
      <c r="C154" s="211"/>
      <c r="D154" s="208"/>
      <c r="E154" s="208"/>
      <c r="F154" s="208"/>
      <c r="G154" s="208"/>
      <c r="H154" s="208"/>
      <c r="I154" s="213"/>
      <c r="J154" s="213"/>
      <c r="K154" s="211"/>
      <c r="L154" s="208"/>
      <c r="M154" s="213"/>
      <c r="N154" s="213"/>
      <c r="O154" s="213"/>
      <c r="P154" s="213"/>
      <c r="Q154" s="208"/>
      <c r="R154" s="208"/>
      <c r="S154" s="211"/>
      <c r="T154" s="208"/>
      <c r="U154" s="208"/>
      <c r="V154" s="211"/>
      <c r="W154" s="208"/>
      <c r="X154" s="208"/>
      <c r="Y154" s="213"/>
      <c r="Z154" s="213"/>
      <c r="AA154" s="213"/>
      <c r="AB154" s="208"/>
      <c r="AC154" s="209"/>
      <c r="AD154" s="217"/>
    </row>
    <row r="155" spans="1:30" s="188" customFormat="1" ht="13.2" customHeight="1" x14ac:dyDescent="0.25">
      <c r="A155" s="208"/>
      <c r="B155" s="211"/>
      <c r="C155" s="211"/>
      <c r="D155" s="208"/>
      <c r="E155" s="208"/>
      <c r="F155" s="208"/>
      <c r="G155" s="208"/>
      <c r="H155" s="208"/>
      <c r="I155" s="213"/>
      <c r="J155" s="213"/>
      <c r="K155" s="211"/>
      <c r="L155" s="208"/>
      <c r="M155" s="213"/>
      <c r="N155" s="213"/>
      <c r="O155" s="213"/>
      <c r="P155" s="213"/>
      <c r="Q155" s="208"/>
      <c r="R155" s="208"/>
      <c r="S155" s="211"/>
      <c r="T155" s="208"/>
      <c r="U155" s="208"/>
      <c r="V155" s="211"/>
      <c r="W155" s="208"/>
      <c r="X155" s="208"/>
      <c r="Y155" s="213"/>
      <c r="Z155" s="213"/>
      <c r="AA155" s="213"/>
      <c r="AB155" s="208"/>
      <c r="AC155" s="209"/>
      <c r="AD155" s="217"/>
    </row>
    <row r="156" spans="1:30" s="188" customFormat="1" ht="13.2" customHeight="1" x14ac:dyDescent="0.25">
      <c r="A156" s="208"/>
      <c r="B156" s="211"/>
      <c r="C156" s="211"/>
      <c r="D156" s="208"/>
      <c r="E156" s="208"/>
      <c r="F156" s="208"/>
      <c r="G156" s="208"/>
      <c r="H156" s="208"/>
      <c r="I156" s="213"/>
      <c r="J156" s="213"/>
      <c r="K156" s="211"/>
      <c r="L156" s="208"/>
      <c r="M156" s="213"/>
      <c r="N156" s="213"/>
      <c r="O156" s="213"/>
      <c r="P156" s="213"/>
      <c r="Q156" s="208"/>
      <c r="R156" s="208"/>
      <c r="S156" s="211"/>
      <c r="T156" s="208"/>
      <c r="U156" s="208"/>
      <c r="V156" s="211"/>
      <c r="W156" s="208"/>
      <c r="X156" s="208"/>
      <c r="Y156" s="213"/>
      <c r="Z156" s="213"/>
      <c r="AA156" s="213"/>
      <c r="AB156" s="208"/>
      <c r="AC156" s="209"/>
      <c r="AD156" s="217"/>
    </row>
    <row r="157" spans="1:30" s="188" customFormat="1" ht="13.2" customHeight="1" x14ac:dyDescent="0.25">
      <c r="A157" s="208"/>
      <c r="B157" s="211"/>
      <c r="C157" s="211"/>
      <c r="D157" s="208"/>
      <c r="E157" s="208"/>
      <c r="F157" s="208"/>
      <c r="G157" s="208"/>
      <c r="H157" s="208"/>
      <c r="I157" s="213"/>
      <c r="J157" s="213"/>
      <c r="K157" s="211"/>
      <c r="L157" s="208"/>
      <c r="M157" s="213"/>
      <c r="N157" s="213"/>
      <c r="O157" s="213"/>
      <c r="P157" s="213"/>
      <c r="Q157" s="208"/>
      <c r="R157" s="208"/>
      <c r="S157" s="211"/>
      <c r="T157" s="208"/>
      <c r="U157" s="208"/>
      <c r="V157" s="211"/>
      <c r="W157" s="208"/>
      <c r="X157" s="208"/>
      <c r="Y157" s="213"/>
      <c r="Z157" s="213"/>
      <c r="AA157" s="213"/>
      <c r="AB157" s="208"/>
      <c r="AC157" s="209"/>
      <c r="AD157" s="217"/>
    </row>
    <row r="158" spans="1:30" s="188" customFormat="1" ht="13.2" customHeight="1" x14ac:dyDescent="0.25">
      <c r="A158" s="208"/>
      <c r="B158" s="211"/>
      <c r="C158" s="211"/>
      <c r="D158" s="208"/>
      <c r="E158" s="208"/>
      <c r="F158" s="208"/>
      <c r="G158" s="208"/>
      <c r="H158" s="208"/>
      <c r="I158" s="213"/>
      <c r="J158" s="213"/>
      <c r="K158" s="211"/>
      <c r="L158" s="208"/>
      <c r="M158" s="213"/>
      <c r="N158" s="213"/>
      <c r="O158" s="213"/>
      <c r="P158" s="213"/>
      <c r="Q158" s="208"/>
      <c r="R158" s="208"/>
      <c r="S158" s="211"/>
      <c r="T158" s="208"/>
      <c r="U158" s="208"/>
      <c r="V158" s="211"/>
      <c r="W158" s="208"/>
      <c r="X158" s="208"/>
      <c r="Y158" s="213"/>
      <c r="Z158" s="213"/>
      <c r="AA158" s="213"/>
      <c r="AB158" s="208"/>
      <c r="AC158" s="209"/>
      <c r="AD158" s="217"/>
    </row>
    <row r="159" spans="1:30" s="188" customFormat="1" ht="13.2" customHeight="1" x14ac:dyDescent="0.25">
      <c r="A159" s="208"/>
      <c r="B159" s="211"/>
      <c r="C159" s="211"/>
      <c r="D159" s="208"/>
      <c r="E159" s="208"/>
      <c r="F159" s="208"/>
      <c r="G159" s="208"/>
      <c r="H159" s="208"/>
      <c r="I159" s="213"/>
      <c r="J159" s="213"/>
      <c r="K159" s="211"/>
      <c r="L159" s="208"/>
      <c r="M159" s="213"/>
      <c r="N159" s="213"/>
      <c r="O159" s="213"/>
      <c r="P159" s="213"/>
      <c r="Q159" s="208"/>
      <c r="R159" s="208"/>
      <c r="S159" s="211"/>
      <c r="T159" s="208"/>
      <c r="U159" s="208"/>
      <c r="V159" s="211"/>
      <c r="W159" s="208"/>
      <c r="X159" s="208"/>
      <c r="Y159" s="213"/>
      <c r="Z159" s="213"/>
      <c r="AA159" s="213"/>
      <c r="AB159" s="208"/>
      <c r="AC159" s="209"/>
      <c r="AD159" s="217"/>
    </row>
    <row r="160" spans="1:30" s="188" customFormat="1" ht="13.2" customHeight="1" x14ac:dyDescent="0.25">
      <c r="A160" s="208"/>
      <c r="B160" s="211"/>
      <c r="C160" s="211"/>
      <c r="D160" s="208"/>
      <c r="E160" s="208"/>
      <c r="F160" s="208"/>
      <c r="G160" s="208"/>
      <c r="H160" s="208"/>
      <c r="I160" s="213"/>
      <c r="J160" s="213"/>
      <c r="K160" s="211"/>
      <c r="L160" s="208"/>
      <c r="M160" s="213"/>
      <c r="N160" s="213"/>
      <c r="O160" s="213"/>
      <c r="P160" s="213"/>
      <c r="Q160" s="208"/>
      <c r="R160" s="208"/>
      <c r="S160" s="211"/>
      <c r="T160" s="208"/>
      <c r="U160" s="208"/>
      <c r="V160" s="211"/>
      <c r="W160" s="208"/>
      <c r="X160" s="208"/>
      <c r="Y160" s="213"/>
      <c r="Z160" s="213"/>
      <c r="AA160" s="213"/>
      <c r="AB160" s="208"/>
      <c r="AC160" s="209"/>
      <c r="AD160" s="217"/>
    </row>
    <row r="161" spans="1:30" s="188" customFormat="1" ht="13.2" customHeight="1" x14ac:dyDescent="0.25">
      <c r="A161" s="208"/>
      <c r="B161" s="211"/>
      <c r="C161" s="211"/>
      <c r="D161" s="208"/>
      <c r="E161" s="208"/>
      <c r="F161" s="208"/>
      <c r="G161" s="208"/>
      <c r="H161" s="208"/>
      <c r="I161" s="213"/>
      <c r="J161" s="213"/>
      <c r="K161" s="211"/>
      <c r="L161" s="208"/>
      <c r="M161" s="213"/>
      <c r="N161" s="213"/>
      <c r="O161" s="213"/>
      <c r="P161" s="213"/>
      <c r="Q161" s="208"/>
      <c r="R161" s="208"/>
      <c r="S161" s="211"/>
      <c r="T161" s="208"/>
      <c r="U161" s="208"/>
      <c r="V161" s="211"/>
      <c r="W161" s="208"/>
      <c r="X161" s="208"/>
      <c r="Y161" s="213"/>
      <c r="Z161" s="213"/>
      <c r="AA161" s="213"/>
      <c r="AB161" s="208"/>
      <c r="AC161" s="209"/>
      <c r="AD161" s="217"/>
    </row>
    <row r="162" spans="1:30" s="188" customFormat="1" ht="13.2" customHeight="1" x14ac:dyDescent="0.25">
      <c r="A162" s="208"/>
      <c r="B162" s="211"/>
      <c r="C162" s="211"/>
      <c r="D162" s="208"/>
      <c r="E162" s="208"/>
      <c r="F162" s="208"/>
      <c r="G162" s="208"/>
      <c r="H162" s="208"/>
      <c r="I162" s="213"/>
      <c r="J162" s="213"/>
      <c r="K162" s="211"/>
      <c r="L162" s="208"/>
      <c r="M162" s="213"/>
      <c r="N162" s="213"/>
      <c r="O162" s="213"/>
      <c r="P162" s="213"/>
      <c r="Q162" s="208"/>
      <c r="R162" s="208"/>
      <c r="S162" s="211"/>
      <c r="T162" s="208"/>
      <c r="U162" s="208"/>
      <c r="V162" s="211"/>
      <c r="W162" s="208"/>
      <c r="X162" s="208"/>
      <c r="Y162" s="213"/>
      <c r="Z162" s="213"/>
      <c r="AA162" s="213"/>
      <c r="AB162" s="208"/>
      <c r="AC162" s="209"/>
      <c r="AD162" s="217"/>
    </row>
    <row r="163" spans="1:30" s="188" customFormat="1" ht="13.2" customHeight="1" x14ac:dyDescent="0.25">
      <c r="A163" s="208"/>
      <c r="B163" s="211"/>
      <c r="C163" s="211"/>
      <c r="D163" s="208"/>
      <c r="E163" s="208"/>
      <c r="F163" s="208"/>
      <c r="G163" s="208"/>
      <c r="H163" s="208"/>
      <c r="I163" s="213"/>
      <c r="J163" s="213"/>
      <c r="K163" s="211"/>
      <c r="L163" s="208"/>
      <c r="M163" s="213"/>
      <c r="N163" s="213"/>
      <c r="O163" s="213"/>
      <c r="P163" s="213"/>
      <c r="Q163" s="208"/>
      <c r="R163" s="208"/>
      <c r="S163" s="211"/>
      <c r="T163" s="208"/>
      <c r="U163" s="208"/>
      <c r="V163" s="211"/>
      <c r="W163" s="208"/>
      <c r="X163" s="208"/>
      <c r="Y163" s="213"/>
      <c r="Z163" s="213"/>
      <c r="AA163" s="213"/>
      <c r="AB163" s="208"/>
      <c r="AC163" s="209"/>
      <c r="AD163" s="217"/>
    </row>
    <row r="164" spans="1:30" s="188" customFormat="1" ht="13.2" customHeight="1" x14ac:dyDescent="0.25">
      <c r="A164" s="208"/>
      <c r="B164" s="211"/>
      <c r="C164" s="211"/>
      <c r="D164" s="208"/>
      <c r="E164" s="208"/>
      <c r="F164" s="208"/>
      <c r="G164" s="208"/>
      <c r="H164" s="208"/>
      <c r="I164" s="213"/>
      <c r="J164" s="213"/>
      <c r="K164" s="211"/>
      <c r="L164" s="208"/>
      <c r="M164" s="213"/>
      <c r="N164" s="213"/>
      <c r="O164" s="213"/>
      <c r="P164" s="213"/>
      <c r="Q164" s="208"/>
      <c r="R164" s="208"/>
      <c r="S164" s="211"/>
      <c r="T164" s="208"/>
      <c r="U164" s="208"/>
      <c r="V164" s="211"/>
      <c r="W164" s="208"/>
      <c r="X164" s="208"/>
      <c r="Y164" s="213"/>
      <c r="Z164" s="213"/>
      <c r="AA164" s="213"/>
      <c r="AB164" s="208"/>
      <c r="AC164" s="209"/>
      <c r="AD164" s="217"/>
    </row>
    <row r="165" spans="1:30" s="188" customFormat="1" ht="13.2" customHeight="1" x14ac:dyDescent="0.25">
      <c r="A165" s="208"/>
      <c r="B165" s="211"/>
      <c r="C165" s="211"/>
      <c r="D165" s="208"/>
      <c r="E165" s="208"/>
      <c r="F165" s="208"/>
      <c r="G165" s="208"/>
      <c r="H165" s="208"/>
      <c r="I165" s="213"/>
      <c r="J165" s="213"/>
      <c r="K165" s="211"/>
      <c r="L165" s="208"/>
      <c r="M165" s="213"/>
      <c r="N165" s="213"/>
      <c r="O165" s="213"/>
      <c r="P165" s="213"/>
      <c r="Q165" s="208"/>
      <c r="R165" s="208"/>
      <c r="S165" s="211"/>
      <c r="T165" s="208"/>
      <c r="U165" s="208"/>
      <c r="V165" s="211"/>
      <c r="W165" s="208"/>
      <c r="X165" s="208"/>
      <c r="Y165" s="213"/>
      <c r="Z165" s="213"/>
      <c r="AA165" s="213"/>
      <c r="AB165" s="208"/>
      <c r="AC165" s="209"/>
      <c r="AD165" s="217"/>
    </row>
    <row r="166" spans="1:30" s="188" customFormat="1" ht="13.2" customHeight="1" x14ac:dyDescent="0.25">
      <c r="A166" s="208"/>
      <c r="B166" s="211"/>
      <c r="C166" s="211"/>
      <c r="D166" s="208"/>
      <c r="E166" s="208"/>
      <c r="F166" s="208"/>
      <c r="G166" s="208"/>
      <c r="H166" s="208"/>
      <c r="I166" s="213"/>
      <c r="J166" s="213"/>
      <c r="K166" s="211"/>
      <c r="L166" s="208"/>
      <c r="M166" s="213"/>
      <c r="N166" s="213"/>
      <c r="O166" s="213"/>
      <c r="P166" s="213"/>
      <c r="Q166" s="208"/>
      <c r="R166" s="208"/>
      <c r="S166" s="211"/>
      <c r="T166" s="208"/>
      <c r="U166" s="208"/>
      <c r="V166" s="211"/>
      <c r="W166" s="208"/>
      <c r="X166" s="208"/>
      <c r="Y166" s="213"/>
      <c r="Z166" s="213"/>
      <c r="AA166" s="213"/>
      <c r="AB166" s="208"/>
      <c r="AC166" s="209"/>
      <c r="AD166" s="217"/>
    </row>
    <row r="167" spans="1:30" s="188" customFormat="1" ht="13.2" customHeight="1" x14ac:dyDescent="0.25">
      <c r="A167" s="208"/>
      <c r="B167" s="211"/>
      <c r="C167" s="211"/>
      <c r="D167" s="208"/>
      <c r="E167" s="208"/>
      <c r="F167" s="208"/>
      <c r="G167" s="208"/>
      <c r="H167" s="208"/>
      <c r="I167" s="213"/>
      <c r="J167" s="213"/>
      <c r="K167" s="211"/>
      <c r="L167" s="208"/>
      <c r="M167" s="213"/>
      <c r="N167" s="213"/>
      <c r="O167" s="213"/>
      <c r="P167" s="213"/>
      <c r="Q167" s="208"/>
      <c r="R167" s="208"/>
      <c r="S167" s="211"/>
      <c r="T167" s="208"/>
      <c r="U167" s="208"/>
      <c r="V167" s="211"/>
      <c r="W167" s="208"/>
      <c r="X167" s="208"/>
      <c r="Y167" s="213"/>
      <c r="Z167" s="213"/>
      <c r="AA167" s="213"/>
      <c r="AB167" s="208"/>
      <c r="AC167" s="209"/>
      <c r="AD167" s="217"/>
    </row>
    <row r="168" spans="1:30" s="188" customFormat="1" ht="13.2" customHeight="1" x14ac:dyDescent="0.25">
      <c r="A168" s="208"/>
      <c r="B168" s="211"/>
      <c r="C168" s="211"/>
      <c r="D168" s="208"/>
      <c r="E168" s="208"/>
      <c r="F168" s="208"/>
      <c r="G168" s="208"/>
      <c r="H168" s="208"/>
      <c r="I168" s="213"/>
      <c r="J168" s="213"/>
      <c r="K168" s="211"/>
      <c r="L168" s="208"/>
      <c r="M168" s="213"/>
      <c r="N168" s="213"/>
      <c r="O168" s="213"/>
      <c r="P168" s="213"/>
      <c r="Q168" s="208"/>
      <c r="R168" s="208"/>
      <c r="S168" s="211"/>
      <c r="T168" s="208"/>
      <c r="U168" s="208"/>
      <c r="V168" s="211"/>
      <c r="W168" s="208"/>
      <c r="X168" s="208"/>
      <c r="Y168" s="213"/>
      <c r="Z168" s="213"/>
      <c r="AA168" s="213"/>
      <c r="AB168" s="208"/>
      <c r="AC168" s="209"/>
      <c r="AD168" s="217"/>
    </row>
    <row r="169" spans="1:30" s="188" customFormat="1" ht="13.2" customHeight="1" x14ac:dyDescent="0.25">
      <c r="A169" s="208"/>
      <c r="B169" s="211"/>
      <c r="C169" s="211"/>
      <c r="D169" s="208"/>
      <c r="E169" s="208"/>
      <c r="F169" s="208"/>
      <c r="G169" s="208"/>
      <c r="H169" s="208"/>
      <c r="I169" s="213"/>
      <c r="J169" s="213"/>
      <c r="K169" s="211"/>
      <c r="L169" s="208"/>
      <c r="M169" s="213"/>
      <c r="N169" s="213"/>
      <c r="O169" s="213"/>
      <c r="P169" s="213"/>
      <c r="Q169" s="208"/>
      <c r="R169" s="208"/>
      <c r="S169" s="211"/>
      <c r="T169" s="208"/>
      <c r="U169" s="208"/>
      <c r="V169" s="211"/>
      <c r="W169" s="208"/>
      <c r="X169" s="208"/>
      <c r="Y169" s="213"/>
      <c r="Z169" s="213"/>
      <c r="AA169" s="213"/>
      <c r="AB169" s="208"/>
      <c r="AC169" s="209"/>
      <c r="AD169" s="217"/>
    </row>
    <row r="170" spans="1:30" s="188" customFormat="1" ht="13.2" customHeight="1" x14ac:dyDescent="0.25">
      <c r="A170" s="208"/>
      <c r="B170" s="211"/>
      <c r="C170" s="211"/>
      <c r="D170" s="208"/>
      <c r="E170" s="208"/>
      <c r="F170" s="208"/>
      <c r="G170" s="208"/>
      <c r="H170" s="208"/>
      <c r="I170" s="213"/>
      <c r="J170" s="213"/>
      <c r="K170" s="211"/>
      <c r="L170" s="208"/>
      <c r="M170" s="213"/>
      <c r="N170" s="213"/>
      <c r="O170" s="213"/>
      <c r="P170" s="213"/>
      <c r="Q170" s="208"/>
      <c r="R170" s="208"/>
      <c r="S170" s="211"/>
      <c r="T170" s="208"/>
      <c r="U170" s="208"/>
      <c r="V170" s="211"/>
      <c r="W170" s="208"/>
      <c r="X170" s="208"/>
      <c r="Y170" s="213"/>
      <c r="Z170" s="213"/>
      <c r="AA170" s="213"/>
      <c r="AB170" s="208"/>
      <c r="AC170" s="209"/>
      <c r="AD170" s="217"/>
    </row>
    <row r="171" spans="1:30" s="188" customFormat="1" ht="13.2" customHeight="1" x14ac:dyDescent="0.25">
      <c r="A171" s="208"/>
      <c r="B171" s="211"/>
      <c r="C171" s="211"/>
      <c r="D171" s="208"/>
      <c r="E171" s="208"/>
      <c r="F171" s="208"/>
      <c r="G171" s="208"/>
      <c r="H171" s="208"/>
      <c r="I171" s="213"/>
      <c r="J171" s="213"/>
      <c r="K171" s="211"/>
      <c r="L171" s="208"/>
      <c r="M171" s="213"/>
      <c r="N171" s="213"/>
      <c r="O171" s="213"/>
      <c r="P171" s="213"/>
      <c r="Q171" s="208"/>
      <c r="R171" s="208"/>
      <c r="S171" s="211"/>
      <c r="T171" s="208"/>
      <c r="U171" s="208"/>
      <c r="V171" s="211"/>
      <c r="W171" s="208"/>
      <c r="X171" s="208"/>
      <c r="Y171" s="213"/>
      <c r="Z171" s="213"/>
      <c r="AA171" s="213"/>
      <c r="AB171" s="208"/>
      <c r="AC171" s="209"/>
      <c r="AD171" s="217"/>
    </row>
    <row r="172" spans="1:30" s="188" customFormat="1" ht="13.2" customHeight="1" x14ac:dyDescent="0.25">
      <c r="A172" s="208"/>
      <c r="B172" s="211"/>
      <c r="C172" s="211"/>
      <c r="D172" s="208"/>
      <c r="E172" s="208"/>
      <c r="F172" s="208"/>
      <c r="G172" s="208"/>
      <c r="H172" s="208"/>
      <c r="I172" s="213"/>
      <c r="J172" s="213"/>
      <c r="K172" s="211"/>
      <c r="L172" s="208"/>
      <c r="M172" s="213"/>
      <c r="N172" s="213"/>
      <c r="O172" s="213"/>
      <c r="P172" s="213"/>
      <c r="Q172" s="208"/>
      <c r="R172" s="208"/>
      <c r="S172" s="211"/>
      <c r="T172" s="208"/>
      <c r="U172" s="208"/>
      <c r="V172" s="211"/>
      <c r="W172" s="208"/>
      <c r="X172" s="208"/>
      <c r="Y172" s="213"/>
      <c r="Z172" s="213"/>
      <c r="AA172" s="213"/>
      <c r="AB172" s="208"/>
      <c r="AC172" s="209"/>
      <c r="AD172" s="217"/>
    </row>
    <row r="173" spans="1:30" s="188" customFormat="1" ht="13.2" customHeight="1" x14ac:dyDescent="0.25">
      <c r="A173" s="208"/>
      <c r="B173" s="211"/>
      <c r="C173" s="211"/>
      <c r="D173" s="208"/>
      <c r="E173" s="208"/>
      <c r="F173" s="208"/>
      <c r="G173" s="208"/>
      <c r="H173" s="208"/>
      <c r="I173" s="213"/>
      <c r="J173" s="213"/>
      <c r="K173" s="211"/>
      <c r="L173" s="208"/>
      <c r="M173" s="213"/>
      <c r="N173" s="213"/>
      <c r="O173" s="213"/>
      <c r="P173" s="213"/>
      <c r="Q173" s="208"/>
      <c r="R173" s="208"/>
      <c r="S173" s="211"/>
      <c r="T173" s="208"/>
      <c r="U173" s="208"/>
      <c r="V173" s="211"/>
      <c r="W173" s="208"/>
      <c r="X173" s="208"/>
      <c r="Y173" s="213"/>
      <c r="Z173" s="213"/>
      <c r="AA173" s="213"/>
      <c r="AB173" s="208"/>
      <c r="AC173" s="209"/>
      <c r="AD173" s="217"/>
    </row>
    <row r="174" spans="1:30" s="188" customFormat="1" ht="13.2" customHeight="1" x14ac:dyDescent="0.25">
      <c r="A174" s="208"/>
      <c r="B174" s="211"/>
      <c r="C174" s="211"/>
      <c r="D174" s="208"/>
      <c r="E174" s="208"/>
      <c r="F174" s="208"/>
      <c r="G174" s="208"/>
      <c r="H174" s="208"/>
      <c r="I174" s="213"/>
      <c r="J174" s="213"/>
      <c r="K174" s="211"/>
      <c r="L174" s="208"/>
      <c r="M174" s="213"/>
      <c r="N174" s="213"/>
      <c r="O174" s="213"/>
      <c r="P174" s="213"/>
      <c r="Q174" s="208"/>
      <c r="R174" s="208"/>
      <c r="S174" s="211"/>
      <c r="T174" s="208"/>
      <c r="U174" s="208"/>
      <c r="V174" s="211"/>
      <c r="W174" s="208"/>
      <c r="X174" s="208"/>
      <c r="Y174" s="213"/>
      <c r="Z174" s="213"/>
      <c r="AA174" s="213"/>
      <c r="AB174" s="208"/>
      <c r="AC174" s="209"/>
      <c r="AD174" s="217"/>
    </row>
    <row r="175" spans="1:30" s="188" customFormat="1" ht="13.2" customHeight="1" x14ac:dyDescent="0.25">
      <c r="A175" s="208"/>
      <c r="B175" s="211"/>
      <c r="C175" s="211"/>
      <c r="D175" s="208"/>
      <c r="E175" s="208"/>
      <c r="F175" s="208"/>
      <c r="G175" s="208"/>
      <c r="H175" s="208"/>
      <c r="I175" s="213"/>
      <c r="J175" s="213"/>
      <c r="K175" s="211"/>
      <c r="L175" s="208"/>
      <c r="M175" s="213"/>
      <c r="N175" s="213"/>
      <c r="O175" s="213"/>
      <c r="P175" s="213"/>
      <c r="Q175" s="208"/>
      <c r="R175" s="208"/>
      <c r="S175" s="211"/>
      <c r="T175" s="208"/>
      <c r="U175" s="208"/>
      <c r="V175" s="211"/>
      <c r="W175" s="208"/>
      <c r="X175" s="208"/>
      <c r="Y175" s="213"/>
      <c r="Z175" s="213"/>
      <c r="AA175" s="213"/>
      <c r="AB175" s="208"/>
      <c r="AC175" s="209"/>
      <c r="AD175" s="217"/>
    </row>
    <row r="176" spans="1:30" s="188" customFormat="1" ht="13.2" customHeight="1" x14ac:dyDescent="0.25">
      <c r="A176" s="208"/>
      <c r="B176" s="211"/>
      <c r="C176" s="211"/>
      <c r="D176" s="208"/>
      <c r="E176" s="208"/>
      <c r="F176" s="208"/>
      <c r="G176" s="208"/>
      <c r="H176" s="208"/>
      <c r="I176" s="213"/>
      <c r="J176" s="213"/>
      <c r="K176" s="211"/>
      <c r="L176" s="208"/>
      <c r="M176" s="213"/>
      <c r="N176" s="213"/>
      <c r="O176" s="213"/>
      <c r="P176" s="213"/>
      <c r="Q176" s="208"/>
      <c r="R176" s="208"/>
      <c r="S176" s="211"/>
      <c r="T176" s="208"/>
      <c r="U176" s="208"/>
      <c r="V176" s="211"/>
      <c r="W176" s="208"/>
      <c r="X176" s="208"/>
      <c r="Y176" s="213"/>
      <c r="Z176" s="213"/>
      <c r="AA176" s="213"/>
      <c r="AB176" s="208"/>
      <c r="AC176" s="209"/>
      <c r="AD176" s="217"/>
    </row>
    <row r="177" spans="1:30" s="188" customFormat="1" ht="13.2" customHeight="1" x14ac:dyDescent="0.25">
      <c r="A177" s="208"/>
      <c r="B177" s="211"/>
      <c r="C177" s="211"/>
      <c r="D177" s="208"/>
      <c r="E177" s="208"/>
      <c r="F177" s="208"/>
      <c r="G177" s="208"/>
      <c r="H177" s="208"/>
      <c r="I177" s="213"/>
      <c r="J177" s="213"/>
      <c r="K177" s="211"/>
      <c r="L177" s="208"/>
      <c r="M177" s="213"/>
      <c r="N177" s="213"/>
      <c r="O177" s="213"/>
      <c r="P177" s="213"/>
      <c r="Q177" s="208"/>
      <c r="R177" s="208"/>
      <c r="S177" s="211"/>
      <c r="T177" s="208"/>
      <c r="U177" s="208"/>
      <c r="V177" s="211"/>
      <c r="W177" s="208"/>
      <c r="X177" s="208"/>
      <c r="Y177" s="213"/>
      <c r="Z177" s="213"/>
      <c r="AA177" s="213"/>
      <c r="AB177" s="208"/>
      <c r="AC177" s="209"/>
      <c r="AD177" s="217"/>
    </row>
    <row r="178" spans="1:30" s="188" customFormat="1" ht="13.2" customHeight="1" x14ac:dyDescent="0.25">
      <c r="A178" s="208"/>
      <c r="B178" s="211"/>
      <c r="C178" s="211"/>
      <c r="D178" s="208"/>
      <c r="E178" s="208"/>
      <c r="F178" s="208"/>
      <c r="G178" s="208"/>
      <c r="H178" s="208"/>
      <c r="I178" s="213"/>
      <c r="J178" s="213"/>
      <c r="K178" s="211"/>
      <c r="L178" s="208"/>
      <c r="M178" s="213"/>
      <c r="N178" s="213"/>
      <c r="O178" s="213"/>
      <c r="P178" s="213"/>
      <c r="Q178" s="208"/>
      <c r="R178" s="208"/>
      <c r="S178" s="211"/>
      <c r="T178" s="208"/>
      <c r="U178" s="208"/>
      <c r="V178" s="211"/>
      <c r="W178" s="208"/>
      <c r="X178" s="208"/>
      <c r="Y178" s="213"/>
      <c r="Z178" s="213"/>
      <c r="AA178" s="213"/>
      <c r="AB178" s="208"/>
      <c r="AC178" s="209"/>
      <c r="AD178" s="217"/>
    </row>
    <row r="179" spans="1:30" s="188" customFormat="1" ht="13.2" customHeight="1" x14ac:dyDescent="0.25">
      <c r="A179" s="208"/>
      <c r="B179" s="211"/>
      <c r="C179" s="211"/>
      <c r="D179" s="208"/>
      <c r="E179" s="208"/>
      <c r="F179" s="208"/>
      <c r="G179" s="208"/>
      <c r="H179" s="208"/>
      <c r="I179" s="213"/>
      <c r="J179" s="213"/>
      <c r="K179" s="211"/>
      <c r="L179" s="208"/>
      <c r="M179" s="213"/>
      <c r="N179" s="213"/>
      <c r="O179" s="213"/>
      <c r="P179" s="213"/>
      <c r="Q179" s="208"/>
      <c r="R179" s="208"/>
      <c r="S179" s="211"/>
      <c r="T179" s="208"/>
      <c r="U179" s="208"/>
      <c r="V179" s="211"/>
      <c r="W179" s="208"/>
      <c r="X179" s="208"/>
      <c r="Y179" s="213"/>
      <c r="Z179" s="213"/>
      <c r="AA179" s="213"/>
      <c r="AB179" s="208"/>
      <c r="AC179" s="209"/>
      <c r="AD179" s="217"/>
    </row>
    <row r="180" spans="1:30" s="188" customFormat="1" ht="13.2" customHeight="1" x14ac:dyDescent="0.25">
      <c r="A180" s="208"/>
      <c r="B180" s="211"/>
      <c r="C180" s="211"/>
      <c r="D180" s="208"/>
      <c r="E180" s="208"/>
      <c r="F180" s="208"/>
      <c r="G180" s="208"/>
      <c r="H180" s="208"/>
      <c r="I180" s="213"/>
      <c r="J180" s="213"/>
      <c r="K180" s="211"/>
      <c r="L180" s="208"/>
      <c r="M180" s="213"/>
      <c r="N180" s="213"/>
      <c r="O180" s="213"/>
      <c r="P180" s="213"/>
      <c r="Q180" s="208"/>
      <c r="R180" s="208"/>
      <c r="S180" s="211"/>
      <c r="T180" s="208"/>
      <c r="U180" s="208"/>
      <c r="V180" s="211"/>
      <c r="W180" s="208"/>
      <c r="X180" s="208"/>
      <c r="Y180" s="213"/>
      <c r="Z180" s="213"/>
      <c r="AA180" s="213"/>
      <c r="AB180" s="208"/>
      <c r="AC180" s="209"/>
      <c r="AD180" s="217"/>
    </row>
    <row r="181" spans="1:30" s="188" customFormat="1" ht="13.2" customHeight="1" x14ac:dyDescent="0.25">
      <c r="A181" s="208"/>
      <c r="B181" s="211"/>
      <c r="C181" s="211"/>
      <c r="D181" s="208"/>
      <c r="E181" s="208"/>
      <c r="F181" s="208"/>
      <c r="G181" s="208"/>
      <c r="H181" s="208"/>
      <c r="I181" s="213"/>
      <c r="J181" s="213"/>
      <c r="K181" s="211"/>
      <c r="L181" s="208"/>
      <c r="M181" s="213"/>
      <c r="N181" s="213"/>
      <c r="O181" s="213"/>
      <c r="P181" s="213"/>
      <c r="Q181" s="208"/>
      <c r="R181" s="208"/>
      <c r="S181" s="211"/>
      <c r="T181" s="208"/>
      <c r="U181" s="208"/>
      <c r="V181" s="211"/>
      <c r="W181" s="208"/>
      <c r="X181" s="208"/>
      <c r="Y181" s="213"/>
      <c r="Z181" s="213"/>
      <c r="AA181" s="213"/>
      <c r="AB181" s="208"/>
      <c r="AC181" s="209"/>
      <c r="AD181" s="217"/>
    </row>
    <row r="182" spans="1:30" s="188" customFormat="1" ht="13.2" customHeight="1" x14ac:dyDescent="0.25">
      <c r="A182" s="208"/>
      <c r="B182" s="211"/>
      <c r="C182" s="211"/>
      <c r="D182" s="208"/>
      <c r="E182" s="208"/>
      <c r="F182" s="208"/>
      <c r="G182" s="208"/>
      <c r="H182" s="208"/>
      <c r="I182" s="213"/>
      <c r="J182" s="213"/>
      <c r="K182" s="211"/>
      <c r="L182" s="208"/>
      <c r="M182" s="213"/>
      <c r="N182" s="213"/>
      <c r="O182" s="213"/>
      <c r="P182" s="213"/>
      <c r="Q182" s="208"/>
      <c r="R182" s="208"/>
      <c r="S182" s="211"/>
      <c r="T182" s="208"/>
      <c r="U182" s="208"/>
      <c r="V182" s="211"/>
      <c r="W182" s="208"/>
      <c r="X182" s="208"/>
      <c r="Y182" s="213"/>
      <c r="Z182" s="213"/>
      <c r="AA182" s="213"/>
      <c r="AB182" s="208"/>
      <c r="AC182" s="209"/>
      <c r="AD182" s="217"/>
    </row>
    <row r="183" spans="1:30" s="188" customFormat="1" ht="13.2" customHeight="1" x14ac:dyDescent="0.25">
      <c r="A183" s="208"/>
      <c r="B183" s="211"/>
      <c r="C183" s="211"/>
      <c r="D183" s="208"/>
      <c r="E183" s="208"/>
      <c r="F183" s="208"/>
      <c r="G183" s="208"/>
      <c r="H183" s="208"/>
      <c r="I183" s="213"/>
      <c r="J183" s="213"/>
      <c r="K183" s="211"/>
      <c r="L183" s="208"/>
      <c r="M183" s="213"/>
      <c r="N183" s="213"/>
      <c r="O183" s="213"/>
      <c r="P183" s="213"/>
      <c r="Q183" s="208"/>
      <c r="R183" s="208"/>
      <c r="S183" s="211"/>
      <c r="T183" s="208"/>
      <c r="U183" s="208"/>
      <c r="V183" s="211"/>
      <c r="W183" s="208"/>
      <c r="X183" s="208"/>
      <c r="Y183" s="213"/>
      <c r="Z183" s="213"/>
      <c r="AA183" s="213"/>
      <c r="AB183" s="208"/>
      <c r="AC183" s="209"/>
      <c r="AD183" s="217"/>
    </row>
    <row r="184" spans="1:30" s="188" customFormat="1" ht="13.2" customHeight="1" x14ac:dyDescent="0.25">
      <c r="A184" s="208"/>
      <c r="B184" s="211"/>
      <c r="C184" s="211"/>
      <c r="D184" s="208"/>
      <c r="E184" s="208"/>
      <c r="F184" s="208"/>
      <c r="G184" s="208"/>
      <c r="H184" s="208"/>
      <c r="I184" s="213"/>
      <c r="J184" s="213"/>
      <c r="K184" s="211"/>
      <c r="L184" s="208"/>
      <c r="M184" s="213"/>
      <c r="N184" s="213"/>
      <c r="O184" s="213"/>
      <c r="P184" s="213"/>
      <c r="Q184" s="208"/>
      <c r="R184" s="208"/>
      <c r="S184" s="211"/>
      <c r="T184" s="208"/>
      <c r="U184" s="208"/>
      <c r="V184" s="211"/>
      <c r="W184" s="208"/>
      <c r="X184" s="208"/>
      <c r="Y184" s="213"/>
      <c r="Z184" s="213"/>
      <c r="AA184" s="213"/>
      <c r="AB184" s="208"/>
      <c r="AC184" s="209"/>
      <c r="AD184" s="217"/>
    </row>
    <row r="185" spans="1:30" s="188" customFormat="1" ht="13.2" customHeight="1" x14ac:dyDescent="0.25">
      <c r="A185" s="208"/>
      <c r="B185" s="211"/>
      <c r="C185" s="211"/>
      <c r="D185" s="208"/>
      <c r="E185" s="208"/>
      <c r="F185" s="208"/>
      <c r="G185" s="208"/>
      <c r="H185" s="208"/>
      <c r="I185" s="213"/>
      <c r="J185" s="213"/>
      <c r="K185" s="211"/>
      <c r="L185" s="208"/>
      <c r="M185" s="213"/>
      <c r="N185" s="213"/>
      <c r="O185" s="213"/>
      <c r="P185" s="213"/>
      <c r="Q185" s="208"/>
      <c r="R185" s="208"/>
      <c r="S185" s="211"/>
      <c r="T185" s="208"/>
      <c r="U185" s="208"/>
      <c r="V185" s="211"/>
      <c r="W185" s="208"/>
      <c r="X185" s="208"/>
      <c r="Y185" s="213"/>
      <c r="Z185" s="213"/>
      <c r="AA185" s="213"/>
      <c r="AB185" s="208"/>
      <c r="AC185" s="209"/>
      <c r="AD185" s="217"/>
    </row>
    <row r="186" spans="1:30" s="188" customFormat="1" ht="13.2" customHeight="1" x14ac:dyDescent="0.25">
      <c r="A186" s="208"/>
      <c r="B186" s="211"/>
      <c r="C186" s="211"/>
      <c r="D186" s="208"/>
      <c r="E186" s="208"/>
      <c r="F186" s="208"/>
      <c r="G186" s="208"/>
      <c r="H186" s="208"/>
      <c r="I186" s="213"/>
      <c r="J186" s="213"/>
      <c r="K186" s="211"/>
      <c r="L186" s="208"/>
      <c r="M186" s="213"/>
      <c r="N186" s="213"/>
      <c r="O186" s="213"/>
      <c r="P186" s="213"/>
      <c r="Q186" s="208"/>
      <c r="R186" s="208"/>
      <c r="S186" s="211"/>
      <c r="T186" s="208"/>
      <c r="U186" s="208"/>
      <c r="V186" s="211"/>
      <c r="W186" s="208"/>
      <c r="X186" s="208"/>
      <c r="Y186" s="213"/>
      <c r="Z186" s="213"/>
      <c r="AA186" s="213"/>
      <c r="AB186" s="208"/>
      <c r="AC186" s="209"/>
      <c r="AD186" s="217"/>
    </row>
    <row r="187" spans="1:30" s="188" customFormat="1" ht="13.2" customHeight="1" x14ac:dyDescent="0.25">
      <c r="A187" s="208"/>
      <c r="B187" s="211"/>
      <c r="C187" s="211"/>
      <c r="D187" s="208"/>
      <c r="E187" s="208"/>
      <c r="F187" s="208"/>
      <c r="G187" s="208"/>
      <c r="H187" s="208"/>
      <c r="I187" s="213"/>
      <c r="J187" s="213"/>
      <c r="K187" s="211"/>
      <c r="L187" s="208"/>
      <c r="M187" s="213"/>
      <c r="N187" s="213"/>
      <c r="O187" s="213"/>
      <c r="P187" s="213"/>
      <c r="Q187" s="208"/>
      <c r="R187" s="208"/>
      <c r="S187" s="211"/>
      <c r="T187" s="208"/>
      <c r="U187" s="208"/>
      <c r="V187" s="211"/>
      <c r="W187" s="208"/>
      <c r="X187" s="208"/>
      <c r="Y187" s="213"/>
      <c r="Z187" s="213"/>
      <c r="AA187" s="213"/>
      <c r="AB187" s="208"/>
      <c r="AC187" s="209"/>
      <c r="AD187" s="217"/>
    </row>
    <row r="188" spans="1:30" s="188" customFormat="1" ht="13.2" customHeight="1" x14ac:dyDescent="0.25">
      <c r="A188" s="208"/>
      <c r="B188" s="211"/>
      <c r="C188" s="211"/>
      <c r="D188" s="208"/>
      <c r="E188" s="208"/>
      <c r="F188" s="208"/>
      <c r="G188" s="208"/>
      <c r="H188" s="208"/>
      <c r="I188" s="213"/>
      <c r="J188" s="213"/>
      <c r="K188" s="211"/>
      <c r="L188" s="208"/>
      <c r="M188" s="213"/>
      <c r="N188" s="213"/>
      <c r="O188" s="213"/>
      <c r="P188" s="213"/>
      <c r="Q188" s="208"/>
      <c r="R188" s="208"/>
      <c r="S188" s="211"/>
      <c r="T188" s="208"/>
      <c r="U188" s="208"/>
      <c r="V188" s="211"/>
      <c r="W188" s="208"/>
      <c r="X188" s="208"/>
      <c r="Y188" s="213"/>
      <c r="Z188" s="213"/>
      <c r="AA188" s="213"/>
      <c r="AB188" s="208"/>
      <c r="AC188" s="209"/>
      <c r="AD188" s="217"/>
    </row>
    <row r="189" spans="1:30" s="188" customFormat="1" ht="13.2" customHeight="1" x14ac:dyDescent="0.25">
      <c r="A189" s="208"/>
      <c r="B189" s="211"/>
      <c r="C189" s="211"/>
      <c r="D189" s="208"/>
      <c r="E189" s="208"/>
      <c r="F189" s="208"/>
      <c r="G189" s="208"/>
      <c r="H189" s="208"/>
      <c r="I189" s="213"/>
      <c r="J189" s="213"/>
      <c r="K189" s="211"/>
      <c r="L189" s="208"/>
      <c r="M189" s="213"/>
      <c r="N189" s="213"/>
      <c r="O189" s="213"/>
      <c r="P189" s="213"/>
      <c r="Q189" s="208"/>
      <c r="R189" s="208"/>
      <c r="S189" s="211"/>
      <c r="T189" s="208"/>
      <c r="U189" s="208"/>
      <c r="V189" s="211"/>
      <c r="W189" s="208"/>
      <c r="X189" s="208"/>
      <c r="Y189" s="213"/>
      <c r="Z189" s="213"/>
      <c r="AA189" s="213"/>
      <c r="AB189" s="208"/>
      <c r="AC189" s="209"/>
      <c r="AD189" s="217"/>
    </row>
    <row r="190" spans="1:30" s="188" customFormat="1" ht="13.2" customHeight="1" x14ac:dyDescent="0.25">
      <c r="A190" s="208"/>
      <c r="B190" s="211"/>
      <c r="C190" s="211"/>
      <c r="D190" s="208"/>
      <c r="E190" s="208"/>
      <c r="F190" s="208"/>
      <c r="G190" s="208"/>
      <c r="H190" s="208"/>
      <c r="I190" s="213"/>
      <c r="J190" s="213"/>
      <c r="K190" s="211"/>
      <c r="L190" s="208"/>
      <c r="M190" s="213"/>
      <c r="N190" s="213"/>
      <c r="O190" s="213"/>
      <c r="P190" s="213"/>
      <c r="Q190" s="208"/>
      <c r="R190" s="208"/>
      <c r="S190" s="211"/>
      <c r="T190" s="208"/>
      <c r="U190" s="208"/>
      <c r="V190" s="211"/>
      <c r="W190" s="208"/>
      <c r="X190" s="208"/>
      <c r="Y190" s="213"/>
      <c r="Z190" s="213"/>
      <c r="AA190" s="213"/>
      <c r="AB190" s="208"/>
      <c r="AC190" s="209"/>
      <c r="AD190" s="217"/>
    </row>
    <row r="191" spans="1:30" s="188" customFormat="1" ht="13.2" customHeight="1" x14ac:dyDescent="0.25">
      <c r="A191" s="208"/>
      <c r="B191" s="211"/>
      <c r="C191" s="211"/>
      <c r="D191" s="208"/>
      <c r="E191" s="208"/>
      <c r="F191" s="208"/>
      <c r="G191" s="208"/>
      <c r="H191" s="208"/>
      <c r="I191" s="213"/>
      <c r="J191" s="213"/>
      <c r="K191" s="211"/>
      <c r="L191" s="208"/>
      <c r="M191" s="213"/>
      <c r="N191" s="213"/>
      <c r="O191" s="213"/>
      <c r="P191" s="213"/>
      <c r="Q191" s="208"/>
      <c r="R191" s="208"/>
      <c r="S191" s="211"/>
      <c r="T191" s="208"/>
      <c r="U191" s="208"/>
      <c r="V191" s="211"/>
      <c r="W191" s="208"/>
      <c r="X191" s="208"/>
      <c r="Y191" s="213"/>
      <c r="Z191" s="213"/>
      <c r="AA191" s="213"/>
      <c r="AB191" s="208"/>
      <c r="AC191" s="209"/>
      <c r="AD191" s="217"/>
    </row>
    <row r="192" spans="1:30" s="188" customFormat="1" ht="13.2" customHeight="1" x14ac:dyDescent="0.25">
      <c r="A192" s="208"/>
      <c r="B192" s="211"/>
      <c r="C192" s="211"/>
      <c r="D192" s="208"/>
      <c r="E192" s="208"/>
      <c r="F192" s="208"/>
      <c r="G192" s="208"/>
      <c r="H192" s="208"/>
      <c r="I192" s="213"/>
      <c r="J192" s="213"/>
      <c r="K192" s="211"/>
      <c r="L192" s="208"/>
      <c r="M192" s="213"/>
      <c r="N192" s="213"/>
      <c r="O192" s="213"/>
      <c r="P192" s="213"/>
      <c r="Q192" s="208"/>
      <c r="R192" s="208"/>
      <c r="S192" s="211"/>
      <c r="T192" s="208"/>
      <c r="U192" s="208"/>
      <c r="V192" s="211"/>
      <c r="W192" s="208"/>
      <c r="X192" s="208"/>
      <c r="Y192" s="213"/>
      <c r="Z192" s="213"/>
      <c r="AA192" s="213"/>
      <c r="AB192" s="208"/>
      <c r="AC192" s="209"/>
      <c r="AD192" s="217"/>
    </row>
    <row r="193" spans="1:30" s="188" customFormat="1" ht="13.2" customHeight="1" x14ac:dyDescent="0.25">
      <c r="A193" s="208"/>
      <c r="B193" s="211"/>
      <c r="C193" s="211"/>
      <c r="D193" s="208"/>
      <c r="E193" s="208"/>
      <c r="F193" s="208"/>
      <c r="G193" s="208"/>
      <c r="H193" s="208"/>
      <c r="I193" s="213"/>
      <c r="J193" s="213"/>
      <c r="K193" s="211"/>
      <c r="L193" s="208"/>
      <c r="M193" s="213"/>
      <c r="N193" s="213"/>
      <c r="O193" s="213"/>
      <c r="P193" s="213"/>
      <c r="Q193" s="208"/>
      <c r="R193" s="208"/>
      <c r="S193" s="211"/>
      <c r="T193" s="208"/>
      <c r="U193" s="208"/>
      <c r="V193" s="211"/>
      <c r="W193" s="208"/>
      <c r="X193" s="208"/>
      <c r="Y193" s="213"/>
      <c r="Z193" s="213"/>
      <c r="AA193" s="213"/>
      <c r="AB193" s="208"/>
      <c r="AC193" s="209"/>
      <c r="AD193" s="217"/>
    </row>
    <row r="194" spans="1:30" s="188" customFormat="1" ht="13.2" customHeight="1" x14ac:dyDescent="0.25">
      <c r="A194" s="208"/>
      <c r="B194" s="211"/>
      <c r="C194" s="211"/>
      <c r="D194" s="208"/>
      <c r="E194" s="208"/>
      <c r="F194" s="208"/>
      <c r="G194" s="208"/>
      <c r="H194" s="208"/>
      <c r="I194" s="213"/>
      <c r="J194" s="213"/>
      <c r="K194" s="211"/>
      <c r="L194" s="208"/>
      <c r="M194" s="213"/>
      <c r="N194" s="213"/>
      <c r="O194" s="213"/>
      <c r="P194" s="213"/>
      <c r="Q194" s="208"/>
      <c r="R194" s="208"/>
      <c r="S194" s="211"/>
      <c r="T194" s="208"/>
      <c r="U194" s="208"/>
      <c r="V194" s="211"/>
      <c r="W194" s="208"/>
      <c r="X194" s="208"/>
      <c r="Y194" s="213"/>
      <c r="Z194" s="213"/>
      <c r="AA194" s="213"/>
      <c r="AB194" s="208"/>
      <c r="AC194" s="209"/>
      <c r="AD194" s="217"/>
    </row>
    <row r="195" spans="1:30" s="188" customFormat="1" ht="13.2" customHeight="1" x14ac:dyDescent="0.25">
      <c r="A195" s="208"/>
      <c r="B195" s="211"/>
      <c r="C195" s="211"/>
      <c r="D195" s="208"/>
      <c r="E195" s="208"/>
      <c r="F195" s="208"/>
      <c r="G195" s="208"/>
      <c r="H195" s="208"/>
      <c r="I195" s="213"/>
      <c r="J195" s="213"/>
      <c r="K195" s="211"/>
      <c r="L195" s="208"/>
      <c r="M195" s="213"/>
      <c r="N195" s="213"/>
      <c r="O195" s="213"/>
      <c r="P195" s="213"/>
      <c r="Q195" s="208"/>
      <c r="R195" s="208"/>
      <c r="S195" s="211"/>
      <c r="T195" s="208"/>
      <c r="U195" s="208"/>
      <c r="V195" s="211"/>
      <c r="W195" s="208"/>
      <c r="X195" s="208"/>
      <c r="Y195" s="213"/>
      <c r="Z195" s="213"/>
      <c r="AA195" s="213"/>
      <c r="AB195" s="208"/>
      <c r="AC195" s="209"/>
      <c r="AD195" s="217"/>
    </row>
    <row r="196" spans="1:30" s="188" customFormat="1" ht="13.2" customHeight="1" x14ac:dyDescent="0.25">
      <c r="A196" s="208"/>
      <c r="B196" s="211"/>
      <c r="C196" s="211"/>
      <c r="D196" s="208"/>
      <c r="E196" s="208"/>
      <c r="F196" s="208"/>
      <c r="G196" s="208"/>
      <c r="H196" s="208"/>
      <c r="I196" s="213"/>
      <c r="J196" s="213"/>
      <c r="K196" s="211"/>
      <c r="L196" s="208"/>
      <c r="M196" s="213"/>
      <c r="N196" s="213"/>
      <c r="O196" s="213"/>
      <c r="P196" s="213"/>
      <c r="Q196" s="208"/>
      <c r="R196" s="208"/>
      <c r="S196" s="211"/>
      <c r="T196" s="208"/>
      <c r="U196" s="208"/>
      <c r="V196" s="211"/>
      <c r="W196" s="208"/>
      <c r="X196" s="208"/>
      <c r="Y196" s="213"/>
      <c r="Z196" s="213"/>
      <c r="AA196" s="213"/>
      <c r="AB196" s="208"/>
      <c r="AC196" s="209"/>
      <c r="AD196" s="217"/>
    </row>
    <row r="197" spans="1:30" s="188" customFormat="1" ht="13.2" customHeight="1" x14ac:dyDescent="0.25">
      <c r="A197" s="208"/>
      <c r="B197" s="211"/>
      <c r="C197" s="211"/>
      <c r="D197" s="208"/>
      <c r="E197" s="208"/>
      <c r="F197" s="208"/>
      <c r="G197" s="208"/>
      <c r="H197" s="208"/>
      <c r="I197" s="213"/>
      <c r="J197" s="213"/>
      <c r="K197" s="211"/>
      <c r="L197" s="208"/>
      <c r="M197" s="213"/>
      <c r="N197" s="213"/>
      <c r="O197" s="213"/>
      <c r="P197" s="213"/>
      <c r="Q197" s="208"/>
      <c r="R197" s="208"/>
      <c r="S197" s="211"/>
      <c r="T197" s="208"/>
      <c r="U197" s="208"/>
      <c r="V197" s="211"/>
      <c r="W197" s="208"/>
      <c r="X197" s="208"/>
      <c r="Y197" s="213"/>
      <c r="Z197" s="213"/>
      <c r="AA197" s="213"/>
      <c r="AB197" s="208"/>
      <c r="AC197" s="209"/>
      <c r="AD197" s="217"/>
    </row>
    <row r="198" spans="1:30" s="188" customFormat="1" ht="13.2" customHeight="1" x14ac:dyDescent="0.25">
      <c r="A198" s="208"/>
      <c r="B198" s="211"/>
      <c r="C198" s="211"/>
      <c r="D198" s="208"/>
      <c r="E198" s="208"/>
      <c r="F198" s="208"/>
      <c r="G198" s="208"/>
      <c r="H198" s="208"/>
      <c r="I198" s="213"/>
      <c r="J198" s="213"/>
      <c r="K198" s="211"/>
      <c r="L198" s="208"/>
      <c r="M198" s="213"/>
      <c r="N198" s="213"/>
      <c r="O198" s="213"/>
      <c r="P198" s="213"/>
      <c r="Q198" s="208"/>
      <c r="R198" s="208"/>
      <c r="S198" s="211"/>
      <c r="T198" s="208"/>
      <c r="U198" s="208"/>
      <c r="V198" s="211"/>
      <c r="W198" s="208"/>
      <c r="X198" s="208"/>
      <c r="Y198" s="213"/>
      <c r="Z198" s="213"/>
      <c r="AA198" s="213"/>
      <c r="AB198" s="208"/>
      <c r="AC198" s="209"/>
      <c r="AD198" s="217"/>
    </row>
    <row r="199" spans="1:30" s="188" customFormat="1" ht="13.2" customHeight="1" x14ac:dyDescent="0.25">
      <c r="A199" s="208"/>
      <c r="B199" s="211"/>
      <c r="C199" s="211"/>
      <c r="D199" s="208"/>
      <c r="E199" s="208"/>
      <c r="F199" s="208"/>
      <c r="G199" s="208"/>
      <c r="H199" s="208"/>
      <c r="I199" s="213"/>
      <c r="J199" s="213"/>
      <c r="K199" s="211"/>
      <c r="L199" s="208"/>
      <c r="M199" s="213"/>
      <c r="N199" s="213"/>
      <c r="O199" s="213"/>
      <c r="P199" s="213"/>
      <c r="Q199" s="208"/>
      <c r="R199" s="208"/>
      <c r="S199" s="211"/>
      <c r="T199" s="208"/>
      <c r="U199" s="208"/>
      <c r="V199" s="211"/>
      <c r="W199" s="208"/>
      <c r="X199" s="208"/>
      <c r="Y199" s="213"/>
      <c r="Z199" s="213"/>
      <c r="AA199" s="213"/>
      <c r="AB199" s="208"/>
      <c r="AC199" s="209"/>
      <c r="AD199" s="217"/>
    </row>
    <row r="200" spans="1:30" s="188" customFormat="1" ht="13.2" customHeight="1" x14ac:dyDescent="0.25">
      <c r="A200" s="208"/>
      <c r="B200" s="211"/>
      <c r="C200" s="211"/>
      <c r="D200" s="208"/>
      <c r="E200" s="208"/>
      <c r="F200" s="208"/>
      <c r="G200" s="208"/>
      <c r="H200" s="208"/>
      <c r="I200" s="213"/>
      <c r="J200" s="213"/>
      <c r="K200" s="211"/>
      <c r="L200" s="208"/>
      <c r="M200" s="213"/>
      <c r="N200" s="213"/>
      <c r="O200" s="213"/>
      <c r="P200" s="213"/>
      <c r="Q200" s="208"/>
      <c r="R200" s="208"/>
      <c r="S200" s="211"/>
      <c r="T200" s="208"/>
      <c r="U200" s="208"/>
      <c r="V200" s="211"/>
      <c r="W200" s="208"/>
      <c r="X200" s="208"/>
      <c r="Y200" s="213"/>
      <c r="Z200" s="213"/>
      <c r="AA200" s="213"/>
      <c r="AB200" s="208"/>
      <c r="AC200" s="209"/>
      <c r="AD200" s="217"/>
    </row>
    <row r="201" spans="1:30" s="188" customFormat="1" ht="13.2" customHeight="1" x14ac:dyDescent="0.25">
      <c r="A201" s="208"/>
      <c r="B201" s="211"/>
      <c r="C201" s="211"/>
      <c r="D201" s="208"/>
      <c r="E201" s="208"/>
      <c r="F201" s="208"/>
      <c r="G201" s="208"/>
      <c r="H201" s="208"/>
      <c r="I201" s="213"/>
      <c r="J201" s="213"/>
      <c r="K201" s="211"/>
      <c r="L201" s="208"/>
      <c r="M201" s="213"/>
      <c r="N201" s="213"/>
      <c r="O201" s="213"/>
      <c r="P201" s="213"/>
      <c r="Q201" s="208"/>
      <c r="R201" s="208"/>
      <c r="S201" s="211"/>
      <c r="T201" s="208"/>
      <c r="U201" s="208"/>
      <c r="V201" s="211"/>
      <c r="W201" s="208"/>
      <c r="X201" s="208"/>
      <c r="Y201" s="213"/>
      <c r="Z201" s="213"/>
      <c r="AA201" s="213"/>
      <c r="AB201" s="208"/>
      <c r="AC201" s="209"/>
      <c r="AD201" s="217"/>
    </row>
    <row r="202" spans="1:30" s="188" customFormat="1" ht="13.2" customHeight="1" x14ac:dyDescent="0.25">
      <c r="A202" s="208"/>
      <c r="B202" s="211"/>
      <c r="C202" s="211"/>
      <c r="D202" s="208"/>
      <c r="E202" s="208"/>
      <c r="F202" s="208"/>
      <c r="G202" s="208"/>
      <c r="H202" s="208"/>
      <c r="I202" s="213"/>
      <c r="J202" s="213"/>
      <c r="K202" s="211"/>
      <c r="L202" s="208"/>
      <c r="M202" s="213"/>
      <c r="N202" s="213"/>
      <c r="O202" s="213"/>
      <c r="P202" s="213"/>
      <c r="Q202" s="208"/>
      <c r="R202" s="208"/>
      <c r="S202" s="211"/>
      <c r="T202" s="208"/>
      <c r="U202" s="208"/>
      <c r="V202" s="211"/>
      <c r="W202" s="208"/>
      <c r="X202" s="208"/>
      <c r="Y202" s="213"/>
      <c r="Z202" s="213"/>
      <c r="AA202" s="213"/>
      <c r="AB202" s="208"/>
      <c r="AC202" s="209"/>
      <c r="AD202" s="217"/>
    </row>
    <row r="203" spans="1:30" s="188" customFormat="1" ht="13.2" customHeight="1" x14ac:dyDescent="0.25">
      <c r="A203" s="208"/>
      <c r="B203" s="211"/>
      <c r="C203" s="211"/>
      <c r="D203" s="208"/>
      <c r="E203" s="208"/>
      <c r="F203" s="208"/>
      <c r="G203" s="208"/>
      <c r="H203" s="208"/>
      <c r="I203" s="213"/>
      <c r="J203" s="213"/>
      <c r="K203" s="211"/>
      <c r="L203" s="208"/>
      <c r="M203" s="213"/>
      <c r="N203" s="213"/>
      <c r="O203" s="213"/>
      <c r="P203" s="213"/>
      <c r="Q203" s="208"/>
      <c r="R203" s="208"/>
      <c r="S203" s="211"/>
      <c r="T203" s="208"/>
      <c r="U203" s="208"/>
      <c r="V203" s="211"/>
      <c r="W203" s="208"/>
      <c r="X203" s="208"/>
      <c r="Y203" s="213"/>
      <c r="Z203" s="213"/>
      <c r="AA203" s="213"/>
      <c r="AB203" s="208"/>
      <c r="AC203" s="209"/>
      <c r="AD203" s="217"/>
    </row>
  </sheetData>
  <autoFilter ref="A4:AI28" xr:uid="{ADEB2491-9704-405E-85B1-1CDF0EC55E3A}"/>
  <mergeCells count="5">
    <mergeCell ref="B2:C2"/>
    <mergeCell ref="D2:E2"/>
    <mergeCell ref="F2:L2"/>
    <mergeCell ref="M2:P2"/>
    <mergeCell ref="Q2:AC2"/>
  </mergeCells>
  <phoneticPr fontId="27" type="noConversion"/>
  <pageMargins left="0.16" right="0.26" top="0.75" bottom="0.75" header="0.3" footer="0.3"/>
  <pageSetup paperSize="9" scale="16"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BF329-FD40-4A3F-A46D-51DE17ADBC45}">
  <dimension ref="A1:N18"/>
  <sheetViews>
    <sheetView workbookViewId="0">
      <selection activeCell="E9" sqref="E9"/>
    </sheetView>
  </sheetViews>
  <sheetFormatPr defaultRowHeight="13.8" x14ac:dyDescent="0.25"/>
  <cols>
    <col min="1" max="1" width="20.44140625" bestFit="1" customWidth="1"/>
    <col min="2" max="3" width="10.88671875" customWidth="1"/>
    <col min="4" max="14" width="10.33203125" customWidth="1"/>
  </cols>
  <sheetData>
    <row r="1" spans="1:14" s="283" customFormat="1" ht="24.6" customHeight="1" x14ac:dyDescent="0.25">
      <c r="A1" s="282"/>
      <c r="B1" s="297" t="s">
        <v>307</v>
      </c>
      <c r="C1" s="297"/>
      <c r="D1" s="298" t="s">
        <v>308</v>
      </c>
      <c r="E1" s="299"/>
      <c r="F1" s="299"/>
      <c r="G1" s="299"/>
      <c r="H1" s="298" t="s">
        <v>309</v>
      </c>
      <c r="I1" s="299"/>
      <c r="J1" s="299"/>
      <c r="K1" s="299"/>
      <c r="L1" s="299"/>
      <c r="M1" s="299"/>
      <c r="N1" s="299"/>
    </row>
    <row r="2" spans="1:14" ht="24.6" customHeight="1" x14ac:dyDescent="0.25">
      <c r="A2" s="276" t="s">
        <v>5</v>
      </c>
      <c r="B2" s="276" t="s">
        <v>305</v>
      </c>
      <c r="C2" s="276" t="s">
        <v>306</v>
      </c>
      <c r="D2" s="276" t="s">
        <v>310</v>
      </c>
      <c r="E2" s="276" t="s">
        <v>273</v>
      </c>
      <c r="F2" s="277" t="s">
        <v>298</v>
      </c>
      <c r="G2" s="276" t="s">
        <v>11</v>
      </c>
      <c r="H2" s="276" t="s">
        <v>301</v>
      </c>
      <c r="I2" s="276" t="s">
        <v>302</v>
      </c>
      <c r="J2" s="276" t="s">
        <v>303</v>
      </c>
      <c r="K2" s="276" t="s">
        <v>304</v>
      </c>
      <c r="L2" s="276" t="s">
        <v>19</v>
      </c>
      <c r="M2" s="277" t="s">
        <v>20</v>
      </c>
      <c r="N2" s="276" t="s">
        <v>285</v>
      </c>
    </row>
    <row r="3" spans="1:14" ht="24.6" customHeight="1" x14ac:dyDescent="0.25">
      <c r="A3" s="278" t="s">
        <v>300</v>
      </c>
      <c r="B3" s="278">
        <v>52500</v>
      </c>
      <c r="C3" s="278">
        <v>58000</v>
      </c>
      <c r="D3" s="279">
        <v>14980.334799999999</v>
      </c>
      <c r="E3" s="286">
        <f>19412.6831+1000+1200</f>
        <v>21612.683099999998</v>
      </c>
      <c r="F3" s="285">
        <f>34393.0179+1000+1200</f>
        <v>36593.017899999999</v>
      </c>
      <c r="G3" s="281">
        <f>F3/B3</f>
        <v>0.69700986476190474</v>
      </c>
      <c r="H3" s="279">
        <v>13451.0515</v>
      </c>
      <c r="I3" s="279">
        <v>1801</v>
      </c>
      <c r="J3" s="279">
        <v>11754.896699999999</v>
      </c>
      <c r="K3" s="279">
        <v>13063</v>
      </c>
      <c r="L3" s="279">
        <v>11710.70162</v>
      </c>
      <c r="M3" s="280">
        <v>51780.649819999991</v>
      </c>
      <c r="N3" s="281">
        <f>M3/C3</f>
        <v>0.89276982448275843</v>
      </c>
    </row>
    <row r="4" spans="1:14" ht="24.6" customHeight="1" x14ac:dyDescent="0.25">
      <c r="A4" s="275" t="s">
        <v>25</v>
      </c>
      <c r="B4" s="275">
        <v>18000</v>
      </c>
      <c r="C4" s="275">
        <v>21500</v>
      </c>
      <c r="D4" s="80">
        <v>2554.1152999999999</v>
      </c>
      <c r="E4" s="284">
        <f>3450.8847+1200</f>
        <v>4650.8847000000005</v>
      </c>
      <c r="F4" s="285">
        <f>6005+1200</f>
        <v>7205</v>
      </c>
      <c r="G4" s="274">
        <f t="shared" ref="G4:G17" si="0">F4/B4</f>
        <v>0.40027777777777779</v>
      </c>
      <c r="H4" s="80">
        <v>2441.2186999999999</v>
      </c>
      <c r="I4" s="80">
        <v>1124</v>
      </c>
      <c r="J4" s="80">
        <v>3495</v>
      </c>
      <c r="K4" s="80">
        <v>8300</v>
      </c>
      <c r="L4" s="80">
        <v>2070.5308199999999</v>
      </c>
      <c r="M4" s="280">
        <v>17430.749519999998</v>
      </c>
      <c r="N4" s="274">
        <f t="shared" ref="N4:N17" si="1">M4/C4</f>
        <v>0.81073253581395333</v>
      </c>
    </row>
    <row r="5" spans="1:14" ht="24.6" customHeight="1" x14ac:dyDescent="0.25">
      <c r="A5" s="275" t="s">
        <v>26</v>
      </c>
      <c r="B5" s="275">
        <v>2140</v>
      </c>
      <c r="C5" s="275">
        <v>2600</v>
      </c>
      <c r="D5" s="80">
        <v>944.60540000000015</v>
      </c>
      <c r="E5" s="80">
        <v>1350</v>
      </c>
      <c r="F5" s="280">
        <v>2294.6054000000004</v>
      </c>
      <c r="G5" s="274">
        <f t="shared" si="0"/>
        <v>1.0722455140186917</v>
      </c>
      <c r="H5" s="80">
        <v>1909</v>
      </c>
      <c r="I5" s="80">
        <v>0</v>
      </c>
      <c r="J5" s="80">
        <v>0</v>
      </c>
      <c r="K5" s="80"/>
      <c r="L5" s="80">
        <v>395</v>
      </c>
      <c r="M5" s="280">
        <v>2304</v>
      </c>
      <c r="N5" s="274">
        <f t="shared" si="1"/>
        <v>0.88615384615384618</v>
      </c>
    </row>
    <row r="6" spans="1:14" ht="24.6" customHeight="1" x14ac:dyDescent="0.25">
      <c r="A6" s="275" t="s">
        <v>28</v>
      </c>
      <c r="B6" s="275">
        <v>9500</v>
      </c>
      <c r="C6" s="275">
        <v>10400</v>
      </c>
      <c r="D6" s="80">
        <v>3602.6583999999998</v>
      </c>
      <c r="E6" s="80">
        <v>2130.3416000000002</v>
      </c>
      <c r="F6" s="280">
        <v>5733</v>
      </c>
      <c r="G6" s="274">
        <f t="shared" si="0"/>
        <v>0.60347368421052627</v>
      </c>
      <c r="H6" s="80">
        <v>2094</v>
      </c>
      <c r="I6" s="80">
        <v>0</v>
      </c>
      <c r="J6" s="80">
        <v>1994</v>
      </c>
      <c r="K6" s="80">
        <v>2418</v>
      </c>
      <c r="L6" s="80">
        <v>1065.1708000000001</v>
      </c>
      <c r="M6" s="280">
        <v>7571.1707999999999</v>
      </c>
      <c r="N6" s="274">
        <f t="shared" si="1"/>
        <v>0.72799719230769233</v>
      </c>
    </row>
    <row r="7" spans="1:14" ht="24.6" customHeight="1" x14ac:dyDescent="0.25">
      <c r="A7" s="275" t="s">
        <v>30</v>
      </c>
      <c r="B7" s="275">
        <v>700</v>
      </c>
      <c r="C7" s="275">
        <v>3880</v>
      </c>
      <c r="D7" s="80">
        <v>494.20429999999999</v>
      </c>
      <c r="E7" s="80">
        <v>0</v>
      </c>
      <c r="F7" s="280">
        <v>494.20429999999999</v>
      </c>
      <c r="G7" s="274">
        <f t="shared" si="0"/>
        <v>0.7060061428571428</v>
      </c>
      <c r="H7" s="80">
        <v>1014</v>
      </c>
      <c r="I7" s="80"/>
      <c r="J7" s="80">
        <v>226</v>
      </c>
      <c r="K7" s="80"/>
      <c r="L7" s="80"/>
      <c r="M7" s="280">
        <v>1240</v>
      </c>
      <c r="N7" s="274">
        <f t="shared" si="1"/>
        <v>0.31958762886597936</v>
      </c>
    </row>
    <row r="8" spans="1:14" ht="24.6" customHeight="1" x14ac:dyDescent="0.25">
      <c r="A8" s="275" t="s">
        <v>31</v>
      </c>
      <c r="B8" s="275">
        <v>11000</v>
      </c>
      <c r="C8" s="275">
        <v>9360</v>
      </c>
      <c r="D8" s="80">
        <v>3214.7897000000003</v>
      </c>
      <c r="E8" s="80">
        <v>2009.2102999999997</v>
      </c>
      <c r="F8" s="280">
        <v>5224</v>
      </c>
      <c r="G8" s="274">
        <f t="shared" si="0"/>
        <v>0.47490909090909089</v>
      </c>
      <c r="H8" s="80">
        <v>2092.5192999999999</v>
      </c>
      <c r="I8" s="80">
        <v>193</v>
      </c>
      <c r="J8" s="80">
        <v>1028</v>
      </c>
      <c r="K8" s="80">
        <v>927</v>
      </c>
      <c r="L8" s="80">
        <v>1200</v>
      </c>
      <c r="M8" s="280">
        <v>5440.5192999999999</v>
      </c>
      <c r="N8" s="274">
        <f t="shared" si="1"/>
        <v>0.58125206196581192</v>
      </c>
    </row>
    <row r="9" spans="1:14" ht="24.6" customHeight="1" x14ac:dyDescent="0.25">
      <c r="A9" s="275" t="s">
        <v>32</v>
      </c>
      <c r="B9" s="275">
        <v>2850</v>
      </c>
      <c r="C9" s="275">
        <v>2800</v>
      </c>
      <c r="D9" s="80">
        <v>890.75859999999989</v>
      </c>
      <c r="E9" s="80">
        <v>455</v>
      </c>
      <c r="F9" s="280">
        <v>1345.7585999999999</v>
      </c>
      <c r="G9" s="274">
        <f t="shared" si="0"/>
        <v>0.47219599999999995</v>
      </c>
      <c r="H9" s="80">
        <v>330</v>
      </c>
      <c r="I9" s="80">
        <v>133</v>
      </c>
      <c r="J9" s="80">
        <v>427</v>
      </c>
      <c r="K9" s="80">
        <v>605</v>
      </c>
      <c r="L9" s="80">
        <v>260</v>
      </c>
      <c r="M9" s="280">
        <v>1755</v>
      </c>
      <c r="N9" s="274">
        <f t="shared" si="1"/>
        <v>0.62678571428571428</v>
      </c>
    </row>
    <row r="10" spans="1:14" ht="24.6" customHeight="1" x14ac:dyDescent="0.25">
      <c r="A10" s="275" t="s">
        <v>34</v>
      </c>
      <c r="B10" s="275">
        <v>2250</v>
      </c>
      <c r="C10" s="275">
        <v>2450</v>
      </c>
      <c r="D10" s="80">
        <v>1220.6496</v>
      </c>
      <c r="E10" s="80">
        <v>900</v>
      </c>
      <c r="F10" s="280">
        <v>2120.6495999999997</v>
      </c>
      <c r="G10" s="274">
        <f t="shared" si="0"/>
        <v>0.94251093333333325</v>
      </c>
      <c r="H10" s="80">
        <v>676</v>
      </c>
      <c r="I10" s="80">
        <v>0</v>
      </c>
      <c r="J10" s="80">
        <v>319</v>
      </c>
      <c r="K10" s="80">
        <v>813</v>
      </c>
      <c r="L10" s="80">
        <v>650</v>
      </c>
      <c r="M10" s="280">
        <v>2458</v>
      </c>
      <c r="N10" s="274">
        <f t="shared" si="1"/>
        <v>1.003265306122449</v>
      </c>
    </row>
    <row r="11" spans="1:14" ht="24.6" customHeight="1" x14ac:dyDescent="0.25">
      <c r="A11" s="275" t="s">
        <v>36</v>
      </c>
      <c r="B11" s="275">
        <v>2250</v>
      </c>
      <c r="C11" s="275">
        <v>2300</v>
      </c>
      <c r="D11" s="80">
        <v>478.46460000000002</v>
      </c>
      <c r="E11" s="80">
        <v>556.53539999999998</v>
      </c>
      <c r="F11" s="280">
        <v>1035</v>
      </c>
      <c r="G11" s="274">
        <f t="shared" si="0"/>
        <v>0.46</v>
      </c>
      <c r="H11" s="80">
        <v>545</v>
      </c>
      <c r="I11" s="80">
        <v>68</v>
      </c>
      <c r="J11" s="80">
        <v>97</v>
      </c>
      <c r="K11" s="80"/>
      <c r="L11" s="80">
        <v>340</v>
      </c>
      <c r="M11" s="280">
        <v>1050</v>
      </c>
      <c r="N11" s="274">
        <f t="shared" si="1"/>
        <v>0.45652173913043476</v>
      </c>
    </row>
    <row r="12" spans="1:14" ht="24.6" customHeight="1" x14ac:dyDescent="0.25">
      <c r="A12" s="275" t="s">
        <v>37</v>
      </c>
      <c r="B12" s="275">
        <v>400</v>
      </c>
      <c r="C12" s="275">
        <v>400</v>
      </c>
      <c r="D12" s="80">
        <v>0</v>
      </c>
      <c r="E12" s="80">
        <v>400</v>
      </c>
      <c r="F12" s="280">
        <v>400</v>
      </c>
      <c r="G12" s="274">
        <f t="shared" si="0"/>
        <v>1</v>
      </c>
      <c r="H12" s="80">
        <v>0</v>
      </c>
      <c r="I12" s="80">
        <v>0</v>
      </c>
      <c r="J12" s="80">
        <v>0</v>
      </c>
      <c r="K12" s="80"/>
      <c r="L12" s="80">
        <v>400</v>
      </c>
      <c r="M12" s="280">
        <v>400</v>
      </c>
      <c r="N12" s="274">
        <f t="shared" si="1"/>
        <v>1</v>
      </c>
    </row>
    <row r="13" spans="1:14" ht="24.6" customHeight="1" x14ac:dyDescent="0.25">
      <c r="A13" s="275" t="s">
        <v>38</v>
      </c>
      <c r="B13" s="275">
        <v>150</v>
      </c>
      <c r="C13" s="275">
        <v>150</v>
      </c>
      <c r="D13" s="80">
        <v>0</v>
      </c>
      <c r="E13" s="80">
        <v>143</v>
      </c>
      <c r="F13" s="280">
        <v>143</v>
      </c>
      <c r="G13" s="274">
        <f t="shared" si="0"/>
        <v>0.95333333333333337</v>
      </c>
      <c r="H13" s="80">
        <v>0</v>
      </c>
      <c r="I13" s="80">
        <v>0</v>
      </c>
      <c r="J13" s="80">
        <v>0</v>
      </c>
      <c r="K13" s="80"/>
      <c r="L13" s="80">
        <v>143</v>
      </c>
      <c r="M13" s="280">
        <v>143</v>
      </c>
      <c r="N13" s="274">
        <f t="shared" si="1"/>
        <v>0.95333333333333337</v>
      </c>
    </row>
    <row r="14" spans="1:14" ht="24.6" customHeight="1" x14ac:dyDescent="0.25">
      <c r="A14" s="275" t="s">
        <v>39</v>
      </c>
      <c r="B14" s="275">
        <v>110</v>
      </c>
      <c r="C14" s="275">
        <v>110</v>
      </c>
      <c r="D14" s="80">
        <v>0</v>
      </c>
      <c r="E14" s="80">
        <v>110</v>
      </c>
      <c r="F14" s="280">
        <v>110</v>
      </c>
      <c r="G14" s="274">
        <f t="shared" si="0"/>
        <v>1</v>
      </c>
      <c r="H14" s="80"/>
      <c r="I14" s="80"/>
      <c r="J14" s="80"/>
      <c r="K14" s="80"/>
      <c r="L14" s="80">
        <v>110</v>
      </c>
      <c r="M14" s="280">
        <v>110</v>
      </c>
      <c r="N14" s="274">
        <f t="shared" si="1"/>
        <v>1</v>
      </c>
    </row>
    <row r="15" spans="1:14" ht="24.6" customHeight="1" x14ac:dyDescent="0.25">
      <c r="A15" s="275" t="s">
        <v>299</v>
      </c>
      <c r="B15" s="275">
        <v>300</v>
      </c>
      <c r="C15" s="275">
        <v>300</v>
      </c>
      <c r="D15" s="80">
        <v>127.077</v>
      </c>
      <c r="E15" s="80">
        <f>99.923+4900</f>
        <v>4999.9229999999998</v>
      </c>
      <c r="F15" s="280">
        <f>227+4900</f>
        <v>5127</v>
      </c>
      <c r="G15" s="274">
        <f t="shared" si="0"/>
        <v>17.09</v>
      </c>
      <c r="H15" s="80">
        <v>111</v>
      </c>
      <c r="I15" s="80">
        <v>61</v>
      </c>
      <c r="J15" s="80">
        <v>51</v>
      </c>
      <c r="K15" s="80"/>
      <c r="L15" s="80">
        <f>77+4900</f>
        <v>4977</v>
      </c>
      <c r="M15" s="280">
        <f>300+4900</f>
        <v>5200</v>
      </c>
      <c r="N15" s="274">
        <f t="shared" si="1"/>
        <v>17.333333333333332</v>
      </c>
    </row>
    <row r="16" spans="1:14" ht="24.6" customHeight="1" x14ac:dyDescent="0.25">
      <c r="A16" s="275" t="s">
        <v>48</v>
      </c>
      <c r="B16" s="275">
        <v>220</v>
      </c>
      <c r="C16" s="275">
        <v>220</v>
      </c>
      <c r="D16" s="80">
        <v>221.65440000000001</v>
      </c>
      <c r="E16" s="80">
        <v>0.34559999999999036</v>
      </c>
      <c r="F16" s="280">
        <v>222</v>
      </c>
      <c r="G16" s="274">
        <f t="shared" si="0"/>
        <v>1.009090909090909</v>
      </c>
      <c r="H16" s="80">
        <v>13.053000000000001</v>
      </c>
      <c r="I16" s="80">
        <v>222</v>
      </c>
      <c r="J16" s="80">
        <v>0</v>
      </c>
      <c r="K16" s="80"/>
      <c r="L16" s="80">
        <v>0</v>
      </c>
      <c r="M16" s="280">
        <v>235.053</v>
      </c>
      <c r="N16" s="274">
        <f t="shared" si="1"/>
        <v>1.0684227272727274</v>
      </c>
    </row>
    <row r="17" spans="1:14" ht="24.6" customHeight="1" x14ac:dyDescent="0.25">
      <c r="A17" s="275" t="s">
        <v>49</v>
      </c>
      <c r="B17" s="275">
        <v>230</v>
      </c>
      <c r="C17" s="275">
        <v>530</v>
      </c>
      <c r="D17" s="80">
        <v>0</v>
      </c>
      <c r="E17" s="80">
        <v>100</v>
      </c>
      <c r="F17" s="280">
        <v>100</v>
      </c>
      <c r="G17" s="274">
        <f t="shared" si="0"/>
        <v>0.43478260869565216</v>
      </c>
      <c r="H17" s="80">
        <v>0</v>
      </c>
      <c r="I17" s="80">
        <v>0</v>
      </c>
      <c r="J17" s="80">
        <v>340</v>
      </c>
      <c r="K17" s="80"/>
      <c r="L17" s="80">
        <v>100</v>
      </c>
      <c r="M17" s="280">
        <v>440</v>
      </c>
      <c r="N17" s="274">
        <f t="shared" si="1"/>
        <v>0.83018867924528306</v>
      </c>
    </row>
    <row r="18" spans="1:14" ht="24.6" customHeight="1" x14ac:dyDescent="0.25">
      <c r="A18" s="275" t="s">
        <v>50</v>
      </c>
      <c r="B18" s="275">
        <v>2400</v>
      </c>
      <c r="C18" s="275">
        <v>1000</v>
      </c>
      <c r="D18" s="80">
        <v>1192.5575000000001</v>
      </c>
      <c r="E18" s="284">
        <f>2807.4425+1000</f>
        <v>3807.4425000000001</v>
      </c>
      <c r="F18" s="285">
        <v>5000</v>
      </c>
      <c r="G18" s="274" t="s">
        <v>311</v>
      </c>
      <c r="H18" s="80">
        <v>2222.1033000000002</v>
      </c>
      <c r="I18" s="80"/>
      <c r="J18" s="80">
        <v>3777.8966999999998</v>
      </c>
      <c r="K18" s="80"/>
      <c r="L18" s="80"/>
      <c r="M18" s="280">
        <v>6000</v>
      </c>
      <c r="N18" s="274" t="s">
        <v>311</v>
      </c>
    </row>
  </sheetData>
  <mergeCells count="3">
    <mergeCell ref="B1:C1"/>
    <mergeCell ref="D1:G1"/>
    <mergeCell ref="H1:N1"/>
  </mergeCells>
  <phoneticPr fontId="27" type="noConversion"/>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01月度摸底">
    <pageSetUpPr fitToPage="1"/>
  </sheetPr>
  <dimension ref="A1:Z200"/>
  <sheetViews>
    <sheetView zoomScaleNormal="100" workbookViewId="0">
      <pane xSplit="1" ySplit="5" topLeftCell="B6" activePane="bottomRight" state="frozen"/>
      <selection activeCell="B5" sqref="B5:C16"/>
      <selection pane="topRight" activeCell="B5" sqref="B5:C16"/>
      <selection pane="bottomLeft" activeCell="B5" sqref="B5:C16"/>
      <selection pane="bottomRight" activeCell="B5" sqref="B5:C16"/>
    </sheetView>
  </sheetViews>
  <sheetFormatPr defaultRowHeight="18" customHeight="1" outlineLevelRow="1" outlineLevelCol="1" x14ac:dyDescent="0.25"/>
  <cols>
    <col min="1" max="1" width="11.44140625" style="169" customWidth="1"/>
    <col min="2" max="3" width="9.33203125" style="170" bestFit="1" customWidth="1"/>
    <col min="4" max="5" width="9.33203125" style="169" bestFit="1" customWidth="1" outlineLevel="1"/>
    <col min="6" max="8" width="9.33203125" style="169" bestFit="1" customWidth="1"/>
    <col min="9" max="9" width="7.88671875" style="170" bestFit="1" customWidth="1"/>
    <col min="10" max="10" width="7.88671875" style="169" bestFit="1" customWidth="1"/>
    <col min="11" max="11" width="9.33203125" style="169" bestFit="1" customWidth="1"/>
    <col min="12" max="12" width="12.33203125" style="169" bestFit="1" customWidth="1"/>
    <col min="13" max="13" width="10" style="170" bestFit="1" customWidth="1"/>
    <col min="14" max="15" width="10" style="169" bestFit="1" customWidth="1"/>
    <col min="16" max="16" width="14.6640625" style="170" bestFit="1" customWidth="1"/>
    <col min="17" max="17" width="10" style="169" bestFit="1" customWidth="1"/>
    <col min="18" max="18" width="9.33203125" style="169" bestFit="1" customWidth="1"/>
    <col min="19" max="19" width="6.44140625" style="169" customWidth="1"/>
    <col min="20" max="20" width="8" style="173" customWidth="1"/>
    <col min="21" max="21" width="37.88671875" style="174" customWidth="1"/>
    <col min="22" max="26" width="8.88671875" style="166"/>
  </cols>
  <sheetData>
    <row r="1" spans="1:26" s="166" customFormat="1" ht="18" customHeight="1" x14ac:dyDescent="0.25">
      <c r="A1" s="1" t="s">
        <v>262</v>
      </c>
      <c r="B1" s="2"/>
      <c r="C1" s="2"/>
      <c r="D1" s="3"/>
      <c r="E1" s="3"/>
      <c r="F1" s="4"/>
      <c r="G1" s="3"/>
      <c r="H1" s="3"/>
      <c r="I1" s="5"/>
      <c r="J1" s="6"/>
      <c r="K1" s="3"/>
      <c r="L1" s="6"/>
      <c r="M1" s="5"/>
      <c r="N1" s="6"/>
      <c r="O1" s="3"/>
      <c r="P1" s="2"/>
      <c r="Q1" s="3"/>
      <c r="R1" s="3"/>
      <c r="S1" s="3"/>
      <c r="T1" s="7"/>
      <c r="U1" s="8"/>
    </row>
    <row r="2" spans="1:26" s="167" customFormat="1" ht="18" customHeight="1" x14ac:dyDescent="0.25">
      <c r="A2" s="9" t="s">
        <v>0</v>
      </c>
      <c r="B2" s="287" t="s">
        <v>1</v>
      </c>
      <c r="C2" s="288"/>
      <c r="D2" s="287" t="s">
        <v>2</v>
      </c>
      <c r="E2" s="288"/>
      <c r="F2" s="289" t="s">
        <v>3</v>
      </c>
      <c r="G2" s="290"/>
      <c r="H2" s="290"/>
      <c r="I2" s="290"/>
      <c r="J2" s="291"/>
      <c r="K2" s="300" t="s">
        <v>4</v>
      </c>
      <c r="L2" s="300"/>
      <c r="M2" s="301"/>
      <c r="N2" s="300"/>
      <c r="O2" s="300"/>
      <c r="P2" s="301"/>
      <c r="Q2" s="300"/>
      <c r="R2" s="300"/>
      <c r="S2" s="9"/>
      <c r="T2" s="10"/>
      <c r="U2" s="11"/>
    </row>
    <row r="3" spans="1:26" s="167" customFormat="1" ht="29.25" customHeight="1" x14ac:dyDescent="0.25">
      <c r="A3" s="12" t="s">
        <v>5</v>
      </c>
      <c r="B3" s="13" t="s">
        <v>6</v>
      </c>
      <c r="C3" s="13" t="s">
        <v>7</v>
      </c>
      <c r="D3" s="13" t="s">
        <v>6</v>
      </c>
      <c r="E3" s="13" t="s">
        <v>7</v>
      </c>
      <c r="F3" s="14" t="s">
        <v>8</v>
      </c>
      <c r="G3" s="14" t="s">
        <v>9</v>
      </c>
      <c r="H3" s="15" t="s">
        <v>10</v>
      </c>
      <c r="I3" s="16" t="s">
        <v>11</v>
      </c>
      <c r="J3" s="12" t="s">
        <v>12</v>
      </c>
      <c r="K3" s="14" t="s">
        <v>13</v>
      </c>
      <c r="L3" s="14" t="s">
        <v>14</v>
      </c>
      <c r="M3" s="17" t="s">
        <v>15</v>
      </c>
      <c r="N3" s="14" t="s">
        <v>16</v>
      </c>
      <c r="O3" s="14" t="s">
        <v>17</v>
      </c>
      <c r="P3" s="17" t="s">
        <v>18</v>
      </c>
      <c r="Q3" s="14" t="s">
        <v>19</v>
      </c>
      <c r="R3" s="15" t="s">
        <v>20</v>
      </c>
      <c r="S3" s="12" t="s">
        <v>12</v>
      </c>
      <c r="T3" s="16" t="s">
        <v>21</v>
      </c>
      <c r="U3" s="18" t="s">
        <v>22</v>
      </c>
    </row>
    <row r="4" spans="1:26" s="168" customFormat="1" ht="12" x14ac:dyDescent="0.25">
      <c r="A4" s="19" t="s">
        <v>23</v>
      </c>
      <c r="B4" s="20">
        <f t="shared" ref="B4:H4" si="0">B5+B27</f>
        <v>52500</v>
      </c>
      <c r="C4" s="20">
        <f t="shared" si="0"/>
        <v>58000</v>
      </c>
      <c r="D4" s="20">
        <f t="shared" si="0"/>
        <v>64000</v>
      </c>
      <c r="E4" s="20">
        <f t="shared" si="0"/>
        <v>72700</v>
      </c>
      <c r="F4" s="21">
        <f t="shared" si="0"/>
        <v>12858</v>
      </c>
      <c r="G4" s="21">
        <f t="shared" si="0"/>
        <v>11854</v>
      </c>
      <c r="H4" s="22">
        <f t="shared" si="0"/>
        <v>24712</v>
      </c>
      <c r="I4" s="23">
        <f t="shared" ref="I4:I16" si="1">H4/B4</f>
        <v>0.4707047619047619</v>
      </c>
      <c r="J4" s="24">
        <f t="shared" ref="J4:J25" si="2">IFERROR(H4/D4,"/")</f>
        <v>0.386125</v>
      </c>
      <c r="K4" s="21">
        <f t="shared" ref="K4:R4" si="3">K5+K27</f>
        <v>11118</v>
      </c>
      <c r="L4" s="21">
        <f t="shared" si="3"/>
        <v>37292</v>
      </c>
      <c r="M4" s="25">
        <f t="shared" si="3"/>
        <v>10777</v>
      </c>
      <c r="N4" s="21">
        <f t="shared" si="3"/>
        <v>1801</v>
      </c>
      <c r="O4" s="21">
        <f t="shared" si="3"/>
        <v>9490</v>
      </c>
      <c r="P4" s="25">
        <f t="shared" si="3"/>
        <v>11645</v>
      </c>
      <c r="Q4" s="21">
        <f t="shared" si="3"/>
        <v>6490</v>
      </c>
      <c r="R4" s="22">
        <f t="shared" si="3"/>
        <v>40544</v>
      </c>
      <c r="S4" s="24">
        <f t="shared" ref="S4:S25" si="4">IFERROR(R4/E4,"/")</f>
        <v>0.55768913342503434</v>
      </c>
      <c r="T4" s="23">
        <f t="shared" ref="T4:T13" si="5">(N4+O4)/(L4-M4)</f>
        <v>0.42583443333961907</v>
      </c>
      <c r="U4" s="26"/>
    </row>
    <row r="5" spans="1:26" s="168" customFormat="1" ht="12" x14ac:dyDescent="0.25">
      <c r="A5" s="19" t="s">
        <v>24</v>
      </c>
      <c r="B5" s="20">
        <f t="shared" ref="B5:H5" si="6">SUM(B6:B25)</f>
        <v>52500</v>
      </c>
      <c r="C5" s="20">
        <f t="shared" si="6"/>
        <v>58000</v>
      </c>
      <c r="D5" s="20">
        <f t="shared" si="6"/>
        <v>60000</v>
      </c>
      <c r="E5" s="20">
        <f t="shared" si="6"/>
        <v>68700</v>
      </c>
      <c r="F5" s="21">
        <f t="shared" si="6"/>
        <v>12858</v>
      </c>
      <c r="G5" s="21">
        <f t="shared" si="6"/>
        <v>11854</v>
      </c>
      <c r="H5" s="22">
        <f t="shared" si="6"/>
        <v>24712</v>
      </c>
      <c r="I5" s="27">
        <f t="shared" si="1"/>
        <v>0.4707047619047619</v>
      </c>
      <c r="J5" s="24">
        <f t="shared" si="2"/>
        <v>0.41186666666666666</v>
      </c>
      <c r="K5" s="21">
        <f t="shared" ref="K5:R5" si="7">SUM(K6:K25)</f>
        <v>11118</v>
      </c>
      <c r="L5" s="21">
        <f t="shared" si="7"/>
        <v>37292</v>
      </c>
      <c r="M5" s="25">
        <f t="shared" si="7"/>
        <v>10777</v>
      </c>
      <c r="N5" s="21">
        <f t="shared" si="7"/>
        <v>1801</v>
      </c>
      <c r="O5" s="21">
        <f t="shared" si="7"/>
        <v>9490</v>
      </c>
      <c r="P5" s="25">
        <f t="shared" si="7"/>
        <v>11645</v>
      </c>
      <c r="Q5" s="21">
        <f t="shared" si="7"/>
        <v>6490</v>
      </c>
      <c r="R5" s="22">
        <f t="shared" si="7"/>
        <v>40544</v>
      </c>
      <c r="S5" s="24">
        <f t="shared" si="4"/>
        <v>0.59016011644832611</v>
      </c>
      <c r="T5" s="23">
        <f t="shared" si="5"/>
        <v>0.42583443333961907</v>
      </c>
      <c r="U5" s="26"/>
    </row>
    <row r="6" spans="1:26" s="169" customFormat="1" ht="12" x14ac:dyDescent="0.25">
      <c r="A6" s="28" t="s">
        <v>25</v>
      </c>
      <c r="B6" s="29">
        <v>18000</v>
      </c>
      <c r="C6" s="29">
        <v>21500</v>
      </c>
      <c r="D6" s="30">
        <v>20100</v>
      </c>
      <c r="E6" s="30">
        <v>27000</v>
      </c>
      <c r="F6" s="31">
        <v>2655</v>
      </c>
      <c r="G6" s="32">
        <v>3350</v>
      </c>
      <c r="H6" s="33">
        <f t="shared" ref="H6:H25" si="8">F6+G6</f>
        <v>6005</v>
      </c>
      <c r="I6" s="27">
        <f t="shared" si="1"/>
        <v>0.33361111111111114</v>
      </c>
      <c r="J6" s="34">
        <f t="shared" si="2"/>
        <v>0.29875621890547266</v>
      </c>
      <c r="K6" s="35">
        <v>2382</v>
      </c>
      <c r="L6" s="36">
        <v>23514</v>
      </c>
      <c r="M6" s="37">
        <v>7267</v>
      </c>
      <c r="N6" s="35">
        <v>1124</v>
      </c>
      <c r="O6" s="35">
        <v>3554</v>
      </c>
      <c r="P6" s="37">
        <v>8300</v>
      </c>
      <c r="Q6" s="35">
        <f>G6*0.6</f>
        <v>2010</v>
      </c>
      <c r="R6" s="33">
        <f t="shared" ref="R6:R25" si="9">K6+N6+O6+Q6+P6</f>
        <v>17370</v>
      </c>
      <c r="S6" s="34">
        <f t="shared" si="4"/>
        <v>0.64333333333333331</v>
      </c>
      <c r="T6" s="38">
        <f t="shared" si="5"/>
        <v>0.28793007939927373</v>
      </c>
      <c r="U6" s="39"/>
    </row>
    <row r="7" spans="1:26" s="169" customFormat="1" ht="12" x14ac:dyDescent="0.25">
      <c r="A7" s="28" t="s">
        <v>26</v>
      </c>
      <c r="B7" s="29">
        <v>2140</v>
      </c>
      <c r="C7" s="29">
        <v>2600</v>
      </c>
      <c r="D7" s="30">
        <v>1400</v>
      </c>
      <c r="E7" s="30">
        <v>2800</v>
      </c>
      <c r="F7" s="31">
        <v>968</v>
      </c>
      <c r="G7" s="32">
        <v>955</v>
      </c>
      <c r="H7" s="33">
        <f t="shared" si="8"/>
        <v>1923</v>
      </c>
      <c r="I7" s="27">
        <f t="shared" si="1"/>
        <v>0.8985981308411215</v>
      </c>
      <c r="J7" s="34">
        <f t="shared" si="2"/>
        <v>1.3735714285714287</v>
      </c>
      <c r="K7" s="40">
        <v>1909</v>
      </c>
      <c r="L7" s="41"/>
      <c r="M7" s="37"/>
      <c r="N7" s="35"/>
      <c r="O7" s="35"/>
      <c r="P7" s="37"/>
      <c r="Q7" s="35"/>
      <c r="R7" s="33">
        <f t="shared" si="9"/>
        <v>1909</v>
      </c>
      <c r="S7" s="34">
        <f t="shared" si="4"/>
        <v>0.68178571428571433</v>
      </c>
      <c r="T7" s="38" t="e">
        <f t="shared" si="5"/>
        <v>#DIV/0!</v>
      </c>
      <c r="U7" s="39" t="s">
        <v>27</v>
      </c>
    </row>
    <row r="8" spans="1:26" s="169" customFormat="1" ht="12" x14ac:dyDescent="0.25">
      <c r="A8" s="28" t="s">
        <v>28</v>
      </c>
      <c r="B8" s="29">
        <v>9500</v>
      </c>
      <c r="C8" s="29">
        <v>10400</v>
      </c>
      <c r="D8" s="30">
        <v>11500</v>
      </c>
      <c r="E8" s="30">
        <v>12210</v>
      </c>
      <c r="F8" s="31">
        <v>3333</v>
      </c>
      <c r="G8" s="31">
        <v>2400</v>
      </c>
      <c r="H8" s="33">
        <f t="shared" si="8"/>
        <v>5733</v>
      </c>
      <c r="I8" s="27">
        <f t="shared" si="1"/>
        <v>0.60347368421052627</v>
      </c>
      <c r="J8" s="34">
        <f t="shared" si="2"/>
        <v>0.49852173913043479</v>
      </c>
      <c r="K8" s="40">
        <v>2094</v>
      </c>
      <c r="L8" s="41">
        <v>6128</v>
      </c>
      <c r="M8" s="37">
        <v>1410</v>
      </c>
      <c r="N8" s="35">
        <v>0</v>
      </c>
      <c r="O8" s="35">
        <v>1994</v>
      </c>
      <c r="P8" s="37">
        <v>2418</v>
      </c>
      <c r="Q8" s="35">
        <f>G8*0.5</f>
        <v>1200</v>
      </c>
      <c r="R8" s="33">
        <f t="shared" si="9"/>
        <v>7706</v>
      </c>
      <c r="S8" s="34">
        <f t="shared" si="4"/>
        <v>0.63112203112203114</v>
      </c>
      <c r="T8" s="38">
        <f t="shared" si="5"/>
        <v>0.42263671047053836</v>
      </c>
      <c r="U8" s="39" t="s">
        <v>29</v>
      </c>
    </row>
    <row r="9" spans="1:26" s="169" customFormat="1" ht="12" x14ac:dyDescent="0.25">
      <c r="A9" s="28" t="s">
        <v>30</v>
      </c>
      <c r="B9" s="29">
        <v>700</v>
      </c>
      <c r="C9" s="29">
        <v>3880</v>
      </c>
      <c r="D9" s="30">
        <v>170</v>
      </c>
      <c r="E9" s="30">
        <v>610</v>
      </c>
      <c r="F9" s="31">
        <v>494</v>
      </c>
      <c r="G9" s="31"/>
      <c r="H9" s="33">
        <f t="shared" si="8"/>
        <v>494</v>
      </c>
      <c r="I9" s="27">
        <f t="shared" si="1"/>
        <v>0.70571428571428574</v>
      </c>
      <c r="J9" s="34">
        <f t="shared" si="2"/>
        <v>2.9058823529411764</v>
      </c>
      <c r="K9" s="40">
        <v>1014</v>
      </c>
      <c r="L9" s="41">
        <v>226</v>
      </c>
      <c r="M9" s="37"/>
      <c r="N9" s="35"/>
      <c r="O9" s="35">
        <v>226</v>
      </c>
      <c r="P9" s="37"/>
      <c r="Q9" s="35"/>
      <c r="R9" s="33">
        <f t="shared" si="9"/>
        <v>1240</v>
      </c>
      <c r="S9" s="34">
        <f t="shared" si="4"/>
        <v>2.0327868852459017</v>
      </c>
      <c r="T9" s="38">
        <f t="shared" si="5"/>
        <v>1</v>
      </c>
      <c r="U9" s="39"/>
    </row>
    <row r="10" spans="1:26" s="169" customFormat="1" ht="12" x14ac:dyDescent="0.25">
      <c r="A10" s="28" t="s">
        <v>31</v>
      </c>
      <c r="B10" s="29">
        <v>11000</v>
      </c>
      <c r="C10" s="29">
        <v>9360</v>
      </c>
      <c r="D10" s="30">
        <v>11570</v>
      </c>
      <c r="E10" s="30">
        <v>10900</v>
      </c>
      <c r="F10" s="31">
        <v>2774</v>
      </c>
      <c r="G10" s="42">
        <v>2300</v>
      </c>
      <c r="H10" s="33">
        <f t="shared" si="8"/>
        <v>5074</v>
      </c>
      <c r="I10" s="27">
        <f t="shared" si="1"/>
        <v>0.46127272727272728</v>
      </c>
      <c r="J10" s="34">
        <f t="shared" si="2"/>
        <v>0.43854796888504755</v>
      </c>
      <c r="K10" s="43">
        <v>2057</v>
      </c>
      <c r="L10" s="44">
        <v>3469</v>
      </c>
      <c r="M10" s="45">
        <v>1283</v>
      </c>
      <c r="N10" s="46">
        <v>193</v>
      </c>
      <c r="O10" s="47">
        <v>1064</v>
      </c>
      <c r="P10" s="45">
        <v>927</v>
      </c>
      <c r="Q10" s="46">
        <v>1200</v>
      </c>
      <c r="R10" s="33">
        <f t="shared" si="9"/>
        <v>5441</v>
      </c>
      <c r="S10" s="34">
        <f t="shared" si="4"/>
        <v>0.4991743119266055</v>
      </c>
      <c r="T10" s="38">
        <f t="shared" si="5"/>
        <v>0.57502287282708142</v>
      </c>
      <c r="U10" s="39"/>
      <c r="V10" s="48"/>
      <c r="W10" s="48"/>
      <c r="X10" s="48"/>
      <c r="Y10" s="48"/>
      <c r="Z10" s="48"/>
    </row>
    <row r="11" spans="1:26" s="169" customFormat="1" ht="12" x14ac:dyDescent="0.25">
      <c r="A11" s="28" t="s">
        <v>32</v>
      </c>
      <c r="B11" s="29">
        <v>2850</v>
      </c>
      <c r="C11" s="29">
        <v>2800</v>
      </c>
      <c r="D11" s="30">
        <v>3000</v>
      </c>
      <c r="E11" s="30">
        <v>3000</v>
      </c>
      <c r="F11" s="31">
        <v>771</v>
      </c>
      <c r="G11" s="31">
        <v>455</v>
      </c>
      <c r="H11" s="33">
        <f t="shared" si="8"/>
        <v>1226</v>
      </c>
      <c r="I11" s="27">
        <f t="shared" si="1"/>
        <v>0.43017543859649121</v>
      </c>
      <c r="J11" s="34">
        <f t="shared" si="2"/>
        <v>0.40866666666666668</v>
      </c>
      <c r="K11" s="40">
        <v>330</v>
      </c>
      <c r="L11" s="41">
        <v>1296</v>
      </c>
      <c r="M11" s="37">
        <v>129</v>
      </c>
      <c r="N11" s="35">
        <v>133</v>
      </c>
      <c r="O11" s="35">
        <v>1032</v>
      </c>
      <c r="P11" s="37"/>
      <c r="Q11" s="35">
        <v>260</v>
      </c>
      <c r="R11" s="33">
        <f t="shared" si="9"/>
        <v>1755</v>
      </c>
      <c r="S11" s="34">
        <f t="shared" si="4"/>
        <v>0.58499999999999996</v>
      </c>
      <c r="T11" s="38">
        <f t="shared" si="5"/>
        <v>0.99828620394173095</v>
      </c>
      <c r="U11" s="39" t="s">
        <v>33</v>
      </c>
    </row>
    <row r="12" spans="1:26" s="169" customFormat="1" ht="12" x14ac:dyDescent="0.25">
      <c r="A12" s="28" t="s">
        <v>34</v>
      </c>
      <c r="B12" s="29">
        <v>2250</v>
      </c>
      <c r="C12" s="29">
        <v>2450</v>
      </c>
      <c r="D12" s="30">
        <v>2500</v>
      </c>
      <c r="E12" s="30">
        <v>2620</v>
      </c>
      <c r="F12" s="31">
        <v>1100</v>
      </c>
      <c r="G12" s="31">
        <v>920</v>
      </c>
      <c r="H12" s="33">
        <f t="shared" si="8"/>
        <v>2020</v>
      </c>
      <c r="I12" s="27">
        <f t="shared" si="1"/>
        <v>0.89777777777777779</v>
      </c>
      <c r="J12" s="34">
        <f t="shared" si="2"/>
        <v>0.80800000000000005</v>
      </c>
      <c r="K12" s="40">
        <v>676</v>
      </c>
      <c r="L12" s="41">
        <v>1132</v>
      </c>
      <c r="M12" s="37">
        <v>0</v>
      </c>
      <c r="N12" s="35">
        <v>0</v>
      </c>
      <c r="O12" s="35">
        <v>1132</v>
      </c>
      <c r="P12" s="37"/>
      <c r="Q12" s="35">
        <v>650</v>
      </c>
      <c r="R12" s="33">
        <f t="shared" si="9"/>
        <v>2458</v>
      </c>
      <c r="S12" s="34">
        <f t="shared" si="4"/>
        <v>0.93816793893129768</v>
      </c>
      <c r="T12" s="38">
        <f t="shared" si="5"/>
        <v>1</v>
      </c>
      <c r="U12" s="39" t="s">
        <v>35</v>
      </c>
    </row>
    <row r="13" spans="1:26" s="169" customFormat="1" ht="12" x14ac:dyDescent="0.25">
      <c r="A13" s="28" t="s">
        <v>36</v>
      </c>
      <c r="B13" s="29">
        <v>2250</v>
      </c>
      <c r="C13" s="29">
        <v>2300</v>
      </c>
      <c r="D13" s="30">
        <v>2500</v>
      </c>
      <c r="E13" s="30">
        <v>2300</v>
      </c>
      <c r="F13" s="31">
        <v>414</v>
      </c>
      <c r="G13" s="31">
        <v>621</v>
      </c>
      <c r="H13" s="33">
        <f t="shared" si="8"/>
        <v>1035</v>
      </c>
      <c r="I13" s="27">
        <f t="shared" si="1"/>
        <v>0.46</v>
      </c>
      <c r="J13" s="34">
        <f t="shared" si="2"/>
        <v>0.41399999999999998</v>
      </c>
      <c r="K13" s="40">
        <v>545</v>
      </c>
      <c r="L13" s="41">
        <v>231</v>
      </c>
      <c r="M13" s="37">
        <v>66</v>
      </c>
      <c r="N13" s="35">
        <v>68</v>
      </c>
      <c r="O13" s="35">
        <v>97</v>
      </c>
      <c r="P13" s="37"/>
      <c r="Q13" s="35">
        <v>340</v>
      </c>
      <c r="R13" s="33">
        <f t="shared" si="9"/>
        <v>1050</v>
      </c>
      <c r="S13" s="34">
        <f t="shared" si="4"/>
        <v>0.45652173913043476</v>
      </c>
      <c r="T13" s="38">
        <f t="shared" si="5"/>
        <v>1</v>
      </c>
      <c r="U13" s="39"/>
    </row>
    <row r="14" spans="1:26" s="169" customFormat="1" ht="12" x14ac:dyDescent="0.25">
      <c r="A14" s="28" t="s">
        <v>37</v>
      </c>
      <c r="B14" s="29">
        <v>400</v>
      </c>
      <c r="C14" s="29">
        <v>400</v>
      </c>
      <c r="D14" s="30">
        <v>400</v>
      </c>
      <c r="E14" s="30">
        <v>400</v>
      </c>
      <c r="F14" s="31">
        <v>0</v>
      </c>
      <c r="G14" s="31">
        <v>400</v>
      </c>
      <c r="H14" s="33">
        <f t="shared" si="8"/>
        <v>400</v>
      </c>
      <c r="I14" s="27">
        <f t="shared" si="1"/>
        <v>1</v>
      </c>
      <c r="J14" s="34">
        <f t="shared" si="2"/>
        <v>1</v>
      </c>
      <c r="K14" s="40">
        <v>0</v>
      </c>
      <c r="L14" s="41">
        <v>0</v>
      </c>
      <c r="M14" s="37">
        <v>0</v>
      </c>
      <c r="N14" s="35">
        <v>0</v>
      </c>
      <c r="O14" s="35">
        <v>0</v>
      </c>
      <c r="P14" s="37">
        <v>0</v>
      </c>
      <c r="Q14" s="35">
        <v>400</v>
      </c>
      <c r="R14" s="33">
        <f t="shared" si="9"/>
        <v>400</v>
      </c>
      <c r="S14" s="34">
        <f t="shared" si="4"/>
        <v>1</v>
      </c>
      <c r="T14" s="38"/>
      <c r="U14" s="39"/>
    </row>
    <row r="15" spans="1:26" s="169" customFormat="1" ht="12" x14ac:dyDescent="0.25">
      <c r="A15" s="28" t="s">
        <v>38</v>
      </c>
      <c r="B15" s="29">
        <v>150</v>
      </c>
      <c r="C15" s="29">
        <v>150</v>
      </c>
      <c r="D15" s="30">
        <v>6000</v>
      </c>
      <c r="E15" s="30">
        <v>6000</v>
      </c>
      <c r="F15" s="31">
        <v>0</v>
      </c>
      <c r="G15" s="31">
        <v>143</v>
      </c>
      <c r="H15" s="33">
        <f t="shared" si="8"/>
        <v>143</v>
      </c>
      <c r="I15" s="27">
        <f t="shared" si="1"/>
        <v>0.95333333333333337</v>
      </c>
      <c r="J15" s="34">
        <f t="shared" si="2"/>
        <v>2.3833333333333335E-2</v>
      </c>
      <c r="K15" s="40">
        <v>0</v>
      </c>
      <c r="L15" s="41">
        <v>599</v>
      </c>
      <c r="M15" s="37">
        <v>599</v>
      </c>
      <c r="N15" s="35">
        <v>0</v>
      </c>
      <c r="O15" s="35">
        <v>0</v>
      </c>
      <c r="P15" s="37">
        <v>0</v>
      </c>
      <c r="Q15" s="35">
        <v>143</v>
      </c>
      <c r="R15" s="33">
        <f t="shared" si="9"/>
        <v>143</v>
      </c>
      <c r="S15" s="34">
        <f t="shared" si="4"/>
        <v>2.3833333333333335E-2</v>
      </c>
      <c r="T15" s="38"/>
      <c r="U15" s="49"/>
    </row>
    <row r="16" spans="1:26" s="169" customFormat="1" ht="12" x14ac:dyDescent="0.25">
      <c r="A16" s="28" t="s">
        <v>39</v>
      </c>
      <c r="B16" s="29">
        <v>110</v>
      </c>
      <c r="C16" s="29">
        <v>110</v>
      </c>
      <c r="D16" s="30">
        <v>110</v>
      </c>
      <c r="E16" s="30">
        <v>110</v>
      </c>
      <c r="F16" s="31"/>
      <c r="G16" s="31">
        <v>110</v>
      </c>
      <c r="H16" s="33">
        <f t="shared" si="8"/>
        <v>110</v>
      </c>
      <c r="I16" s="27">
        <f t="shared" si="1"/>
        <v>1</v>
      </c>
      <c r="J16" s="34">
        <f t="shared" si="2"/>
        <v>1</v>
      </c>
      <c r="K16" s="40"/>
      <c r="L16" s="41"/>
      <c r="M16" s="37"/>
      <c r="N16" s="35"/>
      <c r="O16" s="35"/>
      <c r="P16" s="37"/>
      <c r="Q16" s="35">
        <v>110</v>
      </c>
      <c r="R16" s="33">
        <f t="shared" si="9"/>
        <v>110</v>
      </c>
      <c r="S16" s="34">
        <f t="shared" si="4"/>
        <v>1</v>
      </c>
      <c r="T16" s="50"/>
      <c r="U16" s="49"/>
    </row>
    <row r="17" spans="1:21" s="169" customFormat="1" ht="12" outlineLevel="1" collapsed="1" x14ac:dyDescent="0.25">
      <c r="A17" s="28" t="s">
        <v>40</v>
      </c>
      <c r="B17" s="29">
        <v>0</v>
      </c>
      <c r="C17" s="29">
        <v>0</v>
      </c>
      <c r="D17" s="30"/>
      <c r="E17" s="30"/>
      <c r="F17" s="31"/>
      <c r="G17" s="31"/>
      <c r="H17" s="33">
        <f t="shared" si="8"/>
        <v>0</v>
      </c>
      <c r="I17" s="27"/>
      <c r="J17" s="34" t="str">
        <f t="shared" si="2"/>
        <v>/</v>
      </c>
      <c r="K17" s="35"/>
      <c r="L17" s="35"/>
      <c r="M17" s="37"/>
      <c r="N17" s="35"/>
      <c r="O17" s="35"/>
      <c r="P17" s="37"/>
      <c r="Q17" s="35"/>
      <c r="R17" s="33">
        <f t="shared" si="9"/>
        <v>0</v>
      </c>
      <c r="S17" s="34" t="str">
        <f t="shared" si="4"/>
        <v>/</v>
      </c>
      <c r="T17" s="50" t="e">
        <f t="shared" ref="T17:T25" si="10">(N17+O17)/(L17-M17)</f>
        <v>#DIV/0!</v>
      </c>
      <c r="U17" s="49"/>
    </row>
    <row r="18" spans="1:21" s="169" customFormat="1" ht="12" outlineLevel="1" x14ac:dyDescent="0.25">
      <c r="A18" s="28" t="s">
        <v>42</v>
      </c>
      <c r="B18" s="29">
        <v>0</v>
      </c>
      <c r="C18" s="29">
        <v>0</v>
      </c>
      <c r="D18" s="30"/>
      <c r="E18" s="30"/>
      <c r="F18" s="31"/>
      <c r="G18" s="31"/>
      <c r="H18" s="33">
        <f t="shared" si="8"/>
        <v>0</v>
      </c>
      <c r="I18" s="27"/>
      <c r="J18" s="34" t="str">
        <f t="shared" si="2"/>
        <v>/</v>
      </c>
      <c r="K18" s="35"/>
      <c r="L18" s="35"/>
      <c r="M18" s="37"/>
      <c r="N18" s="35"/>
      <c r="O18" s="35"/>
      <c r="P18" s="37"/>
      <c r="Q18" s="35"/>
      <c r="R18" s="33">
        <f t="shared" si="9"/>
        <v>0</v>
      </c>
      <c r="S18" s="34" t="str">
        <f t="shared" si="4"/>
        <v>/</v>
      </c>
      <c r="T18" s="38" t="e">
        <f t="shared" si="10"/>
        <v>#DIV/0!</v>
      </c>
      <c r="U18" s="39"/>
    </row>
    <row r="19" spans="1:21" s="169" customFormat="1" ht="12" outlineLevel="1" x14ac:dyDescent="0.25">
      <c r="A19" s="28" t="s">
        <v>43</v>
      </c>
      <c r="B19" s="29">
        <v>0</v>
      </c>
      <c r="C19" s="29">
        <v>0</v>
      </c>
      <c r="D19" s="30"/>
      <c r="E19" s="30"/>
      <c r="F19" s="31"/>
      <c r="G19" s="31"/>
      <c r="H19" s="33">
        <f t="shared" si="8"/>
        <v>0</v>
      </c>
      <c r="I19" s="27"/>
      <c r="J19" s="34" t="str">
        <f t="shared" si="2"/>
        <v>/</v>
      </c>
      <c r="K19" s="35"/>
      <c r="L19" s="35"/>
      <c r="M19" s="37"/>
      <c r="N19" s="35"/>
      <c r="O19" s="35"/>
      <c r="P19" s="37"/>
      <c r="Q19" s="35"/>
      <c r="R19" s="33">
        <f t="shared" si="9"/>
        <v>0</v>
      </c>
      <c r="S19" s="34" t="str">
        <f t="shared" si="4"/>
        <v>/</v>
      </c>
      <c r="T19" s="38" t="e">
        <f t="shared" si="10"/>
        <v>#DIV/0!</v>
      </c>
      <c r="U19" s="39"/>
    </row>
    <row r="20" spans="1:21" s="170" customFormat="1" ht="12" outlineLevel="1" x14ac:dyDescent="0.25">
      <c r="A20" s="28" t="s">
        <v>44</v>
      </c>
      <c r="B20" s="29">
        <v>0</v>
      </c>
      <c r="C20" s="29">
        <v>0</v>
      </c>
      <c r="D20" s="30"/>
      <c r="E20" s="30"/>
      <c r="F20" s="31"/>
      <c r="G20" s="31"/>
      <c r="H20" s="33">
        <f t="shared" si="8"/>
        <v>0</v>
      </c>
      <c r="I20" s="27"/>
      <c r="J20" s="34" t="str">
        <f t="shared" si="2"/>
        <v>/</v>
      </c>
      <c r="K20" s="35"/>
      <c r="L20" s="35"/>
      <c r="M20" s="37"/>
      <c r="N20" s="35"/>
      <c r="O20" s="35"/>
      <c r="P20" s="37"/>
      <c r="Q20" s="35"/>
      <c r="R20" s="33">
        <f t="shared" si="9"/>
        <v>0</v>
      </c>
      <c r="S20" s="34" t="str">
        <f t="shared" si="4"/>
        <v>/</v>
      </c>
      <c r="T20" s="38" t="e">
        <f t="shared" si="10"/>
        <v>#DIV/0!</v>
      </c>
      <c r="U20" s="51"/>
    </row>
    <row r="21" spans="1:21" s="171" customFormat="1" ht="12" outlineLevel="1" x14ac:dyDescent="0.25">
      <c r="A21" s="52" t="s">
        <v>45</v>
      </c>
      <c r="B21" s="29">
        <v>0</v>
      </c>
      <c r="C21" s="29">
        <v>0</v>
      </c>
      <c r="D21" s="30"/>
      <c r="E21" s="30"/>
      <c r="F21" s="42"/>
      <c r="G21" s="42"/>
      <c r="H21" s="33">
        <f t="shared" si="8"/>
        <v>0</v>
      </c>
      <c r="I21" s="27"/>
      <c r="J21" s="53" t="str">
        <f t="shared" si="2"/>
        <v>/</v>
      </c>
      <c r="K21" s="35"/>
      <c r="L21" s="35"/>
      <c r="M21" s="37"/>
      <c r="N21" s="35"/>
      <c r="O21" s="35"/>
      <c r="P21" s="37"/>
      <c r="Q21" s="35"/>
      <c r="R21" s="33">
        <f t="shared" si="9"/>
        <v>0</v>
      </c>
      <c r="S21" s="53" t="str">
        <f t="shared" si="4"/>
        <v>/</v>
      </c>
      <c r="T21" s="50" t="e">
        <f t="shared" si="10"/>
        <v>#DIV/0!</v>
      </c>
      <c r="U21" s="49"/>
    </row>
    <row r="22" spans="1:21" s="172" customFormat="1" ht="12" outlineLevel="1" x14ac:dyDescent="0.25">
      <c r="A22" s="52" t="s">
        <v>46</v>
      </c>
      <c r="B22" s="29">
        <v>2400</v>
      </c>
      <c r="C22" s="29">
        <v>1000</v>
      </c>
      <c r="D22" s="30"/>
      <c r="E22" s="30"/>
      <c r="F22" s="42"/>
      <c r="G22" s="42"/>
      <c r="H22" s="33">
        <f t="shared" si="8"/>
        <v>0</v>
      </c>
      <c r="I22" s="27">
        <f>H22/B22</f>
        <v>0</v>
      </c>
      <c r="J22" s="53" t="str">
        <f t="shared" si="2"/>
        <v>/</v>
      </c>
      <c r="K22" s="35"/>
      <c r="L22" s="35"/>
      <c r="M22" s="37"/>
      <c r="N22" s="35"/>
      <c r="O22" s="35"/>
      <c r="P22" s="37"/>
      <c r="Q22" s="35"/>
      <c r="R22" s="33">
        <f t="shared" si="9"/>
        <v>0</v>
      </c>
      <c r="S22" s="53" t="str">
        <f t="shared" si="4"/>
        <v>/</v>
      </c>
      <c r="T22" s="50" t="e">
        <f t="shared" si="10"/>
        <v>#DIV/0!</v>
      </c>
      <c r="U22" s="49"/>
    </row>
    <row r="23" spans="1:21" s="169" customFormat="1" ht="12" x14ac:dyDescent="0.25">
      <c r="A23" s="28" t="s">
        <v>47</v>
      </c>
      <c r="B23" s="29">
        <v>300</v>
      </c>
      <c r="C23" s="29">
        <v>300</v>
      </c>
      <c r="D23" s="29">
        <v>300</v>
      </c>
      <c r="E23" s="29">
        <v>300</v>
      </c>
      <c r="F23" s="31">
        <v>127</v>
      </c>
      <c r="G23" s="31">
        <v>100</v>
      </c>
      <c r="H23" s="33">
        <f t="shared" si="8"/>
        <v>227</v>
      </c>
      <c r="I23" s="27">
        <f>H23/B23</f>
        <v>0.75666666666666671</v>
      </c>
      <c r="J23" s="34">
        <f t="shared" si="2"/>
        <v>0.75666666666666671</v>
      </c>
      <c r="K23" s="35">
        <v>111</v>
      </c>
      <c r="L23" s="35">
        <v>135</v>
      </c>
      <c r="M23" s="37">
        <v>23</v>
      </c>
      <c r="N23" s="35">
        <v>61</v>
      </c>
      <c r="O23" s="35">
        <v>51</v>
      </c>
      <c r="P23" s="37">
        <v>0</v>
      </c>
      <c r="Q23" s="35">
        <v>77</v>
      </c>
      <c r="R23" s="33">
        <f t="shared" si="9"/>
        <v>300</v>
      </c>
      <c r="S23" s="34">
        <f t="shared" si="4"/>
        <v>1</v>
      </c>
      <c r="T23" s="38">
        <f t="shared" si="10"/>
        <v>1</v>
      </c>
      <c r="U23" s="39"/>
    </row>
    <row r="24" spans="1:21" s="169" customFormat="1" ht="12" x14ac:dyDescent="0.25">
      <c r="A24" s="28" t="s">
        <v>48</v>
      </c>
      <c r="B24" s="29">
        <v>220</v>
      </c>
      <c r="C24" s="29">
        <v>220</v>
      </c>
      <c r="D24" s="29">
        <v>220</v>
      </c>
      <c r="E24" s="29">
        <v>220</v>
      </c>
      <c r="F24" s="31">
        <v>222</v>
      </c>
      <c r="G24" s="31">
        <v>0</v>
      </c>
      <c r="H24" s="33">
        <f t="shared" si="8"/>
        <v>222</v>
      </c>
      <c r="I24" s="27">
        <f>H24/B24</f>
        <v>1.009090909090909</v>
      </c>
      <c r="J24" s="34">
        <f t="shared" si="2"/>
        <v>1.009090909090909</v>
      </c>
      <c r="K24" s="35">
        <v>0</v>
      </c>
      <c r="L24" s="35">
        <v>222</v>
      </c>
      <c r="M24" s="37">
        <v>0</v>
      </c>
      <c r="N24" s="35">
        <v>222</v>
      </c>
      <c r="O24" s="35">
        <v>0</v>
      </c>
      <c r="P24" s="37">
        <v>0</v>
      </c>
      <c r="Q24" s="35">
        <v>0</v>
      </c>
      <c r="R24" s="33">
        <f t="shared" si="9"/>
        <v>222</v>
      </c>
      <c r="S24" s="34">
        <f t="shared" si="4"/>
        <v>1.009090909090909</v>
      </c>
      <c r="T24" s="38">
        <f t="shared" si="10"/>
        <v>1</v>
      </c>
      <c r="U24" s="39"/>
    </row>
    <row r="25" spans="1:21" s="169" customFormat="1" ht="12" x14ac:dyDescent="0.25">
      <c r="A25" s="54" t="s">
        <v>49</v>
      </c>
      <c r="B25" s="55">
        <v>230</v>
      </c>
      <c r="C25" s="55">
        <v>530</v>
      </c>
      <c r="D25" s="55">
        <v>230</v>
      </c>
      <c r="E25" s="55">
        <v>230</v>
      </c>
      <c r="F25" s="56">
        <v>0</v>
      </c>
      <c r="G25" s="56">
        <v>100</v>
      </c>
      <c r="H25" s="57">
        <f t="shared" si="8"/>
        <v>100</v>
      </c>
      <c r="I25" s="27">
        <f>H25/B25</f>
        <v>0.43478260869565216</v>
      </c>
      <c r="J25" s="58">
        <f t="shared" si="2"/>
        <v>0.43478260869565216</v>
      </c>
      <c r="K25" s="59">
        <v>0</v>
      </c>
      <c r="L25" s="59">
        <v>340</v>
      </c>
      <c r="M25" s="60">
        <v>0</v>
      </c>
      <c r="N25" s="59">
        <v>0</v>
      </c>
      <c r="O25" s="59">
        <v>340</v>
      </c>
      <c r="P25" s="60">
        <v>0</v>
      </c>
      <c r="Q25" s="59">
        <v>100</v>
      </c>
      <c r="R25" s="33">
        <f t="shared" si="9"/>
        <v>440</v>
      </c>
      <c r="S25" s="58">
        <f t="shared" si="4"/>
        <v>1.9130434782608696</v>
      </c>
      <c r="T25" s="38">
        <f t="shared" si="10"/>
        <v>1</v>
      </c>
      <c r="U25" s="61"/>
    </row>
    <row r="26" spans="1:21" ht="13.8" x14ac:dyDescent="0.25">
      <c r="B26" s="62"/>
      <c r="C26" s="62"/>
      <c r="D26" s="63"/>
      <c r="E26" s="63"/>
      <c r="F26" s="64"/>
      <c r="G26" s="64"/>
      <c r="H26" s="64"/>
      <c r="K26" s="65"/>
      <c r="L26" s="65"/>
      <c r="M26" s="66"/>
      <c r="N26" s="65"/>
      <c r="O26" s="65"/>
      <c r="P26" s="66"/>
      <c r="Q26" s="65"/>
      <c r="R26" s="64"/>
      <c r="T26" s="48"/>
      <c r="U26" s="67"/>
    </row>
    <row r="27" spans="1:21" s="169" customFormat="1" ht="12" x14ac:dyDescent="0.25">
      <c r="A27" s="68" t="s">
        <v>50</v>
      </c>
      <c r="B27" s="69"/>
      <c r="C27" s="69"/>
      <c r="D27" s="70">
        <v>4000</v>
      </c>
      <c r="E27" s="70">
        <v>4000</v>
      </c>
      <c r="F27" s="71"/>
      <c r="G27" s="71"/>
      <c r="H27" s="72"/>
      <c r="I27" s="73"/>
      <c r="J27" s="74">
        <f>IFERROR(H27/D27,"/")</f>
        <v>0</v>
      </c>
      <c r="K27" s="75"/>
      <c r="L27" s="75"/>
      <c r="M27" s="76"/>
      <c r="N27" s="75"/>
      <c r="O27" s="75"/>
      <c r="P27" s="76"/>
      <c r="Q27" s="75"/>
      <c r="R27" s="72"/>
      <c r="S27" s="74">
        <f>IFERROR(R27/E27,"/")</f>
        <v>0</v>
      </c>
      <c r="T27" s="77"/>
      <c r="U27" s="78"/>
    </row>
    <row r="28" spans="1:21" s="169" customFormat="1" ht="12" x14ac:dyDescent="0.25">
      <c r="A28" s="68" t="s">
        <v>51</v>
      </c>
      <c r="B28" s="69"/>
      <c r="C28" s="69"/>
      <c r="D28" s="79">
        <v>9000</v>
      </c>
      <c r="E28" s="79"/>
      <c r="F28" s="71">
        <v>5160</v>
      </c>
      <c r="G28" s="71"/>
      <c r="H28" s="72">
        <f>F28+G28</f>
        <v>5160</v>
      </c>
      <c r="I28" s="73"/>
      <c r="J28" s="74">
        <f>IFERROR(H28/D28,"/")</f>
        <v>0.57333333333333336</v>
      </c>
      <c r="K28" s="75"/>
      <c r="L28" s="75"/>
      <c r="M28" s="80"/>
      <c r="N28" s="75"/>
      <c r="O28" s="75"/>
      <c r="P28" s="76"/>
      <c r="Q28" s="75"/>
      <c r="R28" s="72">
        <f>K28+N28+O28+Q28</f>
        <v>0</v>
      </c>
      <c r="S28" s="74" t="str">
        <f>IFERROR(R28/E28,"/")</f>
        <v>/</v>
      </c>
      <c r="T28" s="77"/>
      <c r="U28" s="78"/>
    </row>
    <row r="29" spans="1:21" ht="18" customHeight="1" x14ac:dyDescent="0.25">
      <c r="T29" s="48"/>
      <c r="U29" s="67"/>
    </row>
    <row r="30" spans="1:21" s="169" customFormat="1" ht="15" customHeight="1" x14ac:dyDescent="0.25">
      <c r="A30" s="3"/>
      <c r="B30" s="2"/>
      <c r="C30" s="2"/>
      <c r="D30" s="3"/>
      <c r="E30" s="3"/>
      <c r="F30" s="81"/>
      <c r="G30" s="81"/>
      <c r="H30" s="81"/>
      <c r="I30" s="2"/>
      <c r="J30" s="3"/>
      <c r="K30" s="3"/>
      <c r="L30" s="3"/>
      <c r="M30" s="2"/>
      <c r="N30" s="3"/>
      <c r="O30" s="3"/>
      <c r="P30" s="2"/>
      <c r="Q30" s="3"/>
      <c r="R30" s="3"/>
      <c r="S30" s="3"/>
      <c r="T30" s="2"/>
      <c r="U30" s="82"/>
    </row>
    <row r="31" spans="1:21" s="169" customFormat="1" ht="18" customHeight="1" x14ac:dyDescent="0.25">
      <c r="G31" s="83"/>
      <c r="H31" s="83"/>
      <c r="T31" s="48"/>
      <c r="U31" s="82"/>
    </row>
    <row r="32" spans="1:21" ht="18" customHeight="1" x14ac:dyDescent="0.25">
      <c r="T32" s="48"/>
      <c r="U32" s="67"/>
    </row>
    <row r="33" spans="6:21" ht="18" customHeight="1" x14ac:dyDescent="0.25">
      <c r="T33" s="48"/>
      <c r="U33" s="67"/>
    </row>
    <row r="34" spans="6:21" ht="18" customHeight="1" x14ac:dyDescent="0.25">
      <c r="F34" s="84"/>
      <c r="H34" s="84"/>
      <c r="T34" s="48"/>
      <c r="U34" s="67"/>
    </row>
    <row r="35" spans="6:21" ht="13.2" customHeight="1" x14ac:dyDescent="0.25">
      <c r="T35" s="48"/>
      <c r="U35" s="67"/>
    </row>
    <row r="36" spans="6:21" ht="13.2" customHeight="1" x14ac:dyDescent="0.25">
      <c r="T36" s="48"/>
      <c r="U36" s="67"/>
    </row>
    <row r="37" spans="6:21" ht="13.2" customHeight="1" x14ac:dyDescent="0.25">
      <c r="T37" s="48"/>
      <c r="U37" s="67"/>
    </row>
    <row r="38" spans="6:21" ht="13.2" customHeight="1" x14ac:dyDescent="0.25">
      <c r="T38" s="48"/>
      <c r="U38" s="67"/>
    </row>
    <row r="39" spans="6:21" ht="13.2" customHeight="1" x14ac:dyDescent="0.25">
      <c r="T39" s="48"/>
      <c r="U39" s="67"/>
    </row>
    <row r="40" spans="6:21" ht="13.2" customHeight="1" x14ac:dyDescent="0.25">
      <c r="T40" s="48"/>
      <c r="U40" s="67"/>
    </row>
    <row r="41" spans="6:21" ht="13.2" customHeight="1" x14ac:dyDescent="0.25">
      <c r="T41" s="48"/>
      <c r="U41" s="67"/>
    </row>
    <row r="42" spans="6:21" ht="13.2" customHeight="1" x14ac:dyDescent="0.25">
      <c r="T42" s="48"/>
      <c r="U42" s="67"/>
    </row>
    <row r="43" spans="6:21" ht="13.2" customHeight="1" x14ac:dyDescent="0.25">
      <c r="T43" s="48"/>
      <c r="U43" s="67"/>
    </row>
    <row r="44" spans="6:21" ht="13.2" customHeight="1" x14ac:dyDescent="0.25">
      <c r="T44" s="48"/>
      <c r="U44" s="67"/>
    </row>
    <row r="45" spans="6:21" ht="13.2" customHeight="1" x14ac:dyDescent="0.25">
      <c r="T45" s="48"/>
      <c r="U45" s="67"/>
    </row>
    <row r="46" spans="6:21" ht="13.2" customHeight="1" x14ac:dyDescent="0.25">
      <c r="T46" s="48"/>
      <c r="U46" s="67"/>
    </row>
    <row r="47" spans="6:21" ht="13.2" customHeight="1" x14ac:dyDescent="0.25">
      <c r="T47" s="48"/>
      <c r="U47" s="67"/>
    </row>
    <row r="48" spans="6:21" ht="13.2" customHeight="1" x14ac:dyDescent="0.25">
      <c r="T48" s="48"/>
      <c r="U48" s="67"/>
    </row>
    <row r="49" spans="20:21" ht="13.2" customHeight="1" x14ac:dyDescent="0.25">
      <c r="T49" s="48"/>
      <c r="U49" s="67"/>
    </row>
    <row r="50" spans="20:21" ht="13.2" customHeight="1" x14ac:dyDescent="0.25">
      <c r="T50" s="48"/>
      <c r="U50" s="67"/>
    </row>
    <row r="51" spans="20:21" ht="13.2" customHeight="1" x14ac:dyDescent="0.25">
      <c r="T51" s="48"/>
      <c r="U51" s="67"/>
    </row>
    <row r="52" spans="20:21" ht="13.2" customHeight="1" x14ac:dyDescent="0.25">
      <c r="T52" s="48"/>
      <c r="U52" s="67"/>
    </row>
    <row r="53" spans="20:21" ht="13.2" customHeight="1" x14ac:dyDescent="0.25">
      <c r="T53" s="48"/>
      <c r="U53" s="67"/>
    </row>
    <row r="54" spans="20:21" ht="13.2" customHeight="1" x14ac:dyDescent="0.25">
      <c r="T54" s="48"/>
      <c r="U54" s="67"/>
    </row>
    <row r="55" spans="20:21" ht="13.2" customHeight="1" x14ac:dyDescent="0.25">
      <c r="T55" s="48"/>
      <c r="U55" s="67"/>
    </row>
    <row r="56" spans="20:21" ht="13.2" customHeight="1" x14ac:dyDescent="0.25">
      <c r="T56" s="48"/>
      <c r="U56" s="67"/>
    </row>
    <row r="57" spans="20:21" ht="13.2" customHeight="1" x14ac:dyDescent="0.25">
      <c r="T57" s="48"/>
      <c r="U57" s="67"/>
    </row>
    <row r="58" spans="20:21" ht="13.2" customHeight="1" x14ac:dyDescent="0.25">
      <c r="T58" s="48"/>
      <c r="U58" s="67"/>
    </row>
    <row r="59" spans="20:21" ht="13.2" customHeight="1" x14ac:dyDescent="0.25">
      <c r="T59" s="48"/>
      <c r="U59" s="67"/>
    </row>
    <row r="60" spans="20:21" ht="13.2" customHeight="1" x14ac:dyDescent="0.25">
      <c r="T60" s="48"/>
      <c r="U60" s="67"/>
    </row>
    <row r="61" spans="20:21" ht="13.2" customHeight="1" x14ac:dyDescent="0.25">
      <c r="T61" s="48"/>
      <c r="U61" s="67"/>
    </row>
    <row r="62" spans="20:21" ht="13.2" customHeight="1" x14ac:dyDescent="0.25">
      <c r="T62" s="48"/>
      <c r="U62" s="67"/>
    </row>
    <row r="63" spans="20:21" ht="13.2" customHeight="1" x14ac:dyDescent="0.25">
      <c r="T63" s="48"/>
      <c r="U63" s="67"/>
    </row>
    <row r="64" spans="20:21" ht="13.2" customHeight="1" x14ac:dyDescent="0.25">
      <c r="T64" s="48"/>
      <c r="U64" s="67"/>
    </row>
    <row r="65" spans="20:21" ht="13.2" customHeight="1" x14ac:dyDescent="0.25">
      <c r="T65" s="48"/>
      <c r="U65" s="67"/>
    </row>
    <row r="66" spans="20:21" ht="13.2" customHeight="1" x14ac:dyDescent="0.25">
      <c r="T66" s="48"/>
      <c r="U66" s="67"/>
    </row>
    <row r="67" spans="20:21" ht="13.2" customHeight="1" x14ac:dyDescent="0.25">
      <c r="T67" s="48"/>
      <c r="U67" s="67"/>
    </row>
    <row r="68" spans="20:21" ht="13.2" customHeight="1" x14ac:dyDescent="0.25">
      <c r="T68" s="48"/>
      <c r="U68" s="67"/>
    </row>
    <row r="69" spans="20:21" ht="13.2" customHeight="1" x14ac:dyDescent="0.25">
      <c r="T69" s="48"/>
      <c r="U69" s="67"/>
    </row>
    <row r="70" spans="20:21" ht="13.2" customHeight="1" x14ac:dyDescent="0.25">
      <c r="T70" s="48"/>
      <c r="U70" s="67"/>
    </row>
    <row r="71" spans="20:21" ht="13.2" customHeight="1" x14ac:dyDescent="0.25">
      <c r="T71" s="48"/>
      <c r="U71" s="67"/>
    </row>
    <row r="72" spans="20:21" ht="13.2" customHeight="1" x14ac:dyDescent="0.25">
      <c r="T72" s="48"/>
      <c r="U72" s="67"/>
    </row>
    <row r="73" spans="20:21" ht="13.2" customHeight="1" x14ac:dyDescent="0.25">
      <c r="T73" s="48"/>
      <c r="U73" s="67"/>
    </row>
    <row r="74" spans="20:21" ht="13.2" customHeight="1" x14ac:dyDescent="0.25">
      <c r="T74" s="48"/>
      <c r="U74" s="67"/>
    </row>
    <row r="75" spans="20:21" ht="13.2" customHeight="1" x14ac:dyDescent="0.25">
      <c r="T75" s="48"/>
      <c r="U75" s="67"/>
    </row>
    <row r="76" spans="20:21" ht="13.2" customHeight="1" x14ac:dyDescent="0.25">
      <c r="T76" s="48"/>
      <c r="U76" s="67"/>
    </row>
    <row r="77" spans="20:21" ht="13.2" customHeight="1" x14ac:dyDescent="0.25">
      <c r="T77" s="48"/>
      <c r="U77" s="67"/>
    </row>
    <row r="78" spans="20:21" ht="13.2" customHeight="1" x14ac:dyDescent="0.25">
      <c r="T78" s="48"/>
      <c r="U78" s="67"/>
    </row>
    <row r="79" spans="20:21" ht="13.2" customHeight="1" x14ac:dyDescent="0.25">
      <c r="T79" s="48"/>
      <c r="U79" s="67"/>
    </row>
    <row r="80" spans="20:21" ht="13.2" customHeight="1" x14ac:dyDescent="0.25">
      <c r="T80" s="48"/>
      <c r="U80" s="67"/>
    </row>
    <row r="81" spans="20:21" ht="13.2" customHeight="1" x14ac:dyDescent="0.25">
      <c r="T81" s="48"/>
      <c r="U81" s="67"/>
    </row>
    <row r="82" spans="20:21" ht="13.2" customHeight="1" x14ac:dyDescent="0.25">
      <c r="T82" s="48"/>
      <c r="U82" s="67"/>
    </row>
    <row r="83" spans="20:21" ht="13.2" customHeight="1" x14ac:dyDescent="0.25">
      <c r="T83" s="48"/>
      <c r="U83" s="67"/>
    </row>
    <row r="84" spans="20:21" ht="13.2" customHeight="1" x14ac:dyDescent="0.25">
      <c r="T84" s="48"/>
      <c r="U84" s="67"/>
    </row>
    <row r="85" spans="20:21" ht="13.2" customHeight="1" x14ac:dyDescent="0.25">
      <c r="T85" s="48"/>
      <c r="U85" s="67"/>
    </row>
    <row r="86" spans="20:21" ht="13.2" customHeight="1" x14ac:dyDescent="0.25">
      <c r="T86" s="48"/>
      <c r="U86" s="67"/>
    </row>
    <row r="87" spans="20:21" ht="13.2" customHeight="1" x14ac:dyDescent="0.25">
      <c r="T87" s="48"/>
      <c r="U87" s="67"/>
    </row>
    <row r="88" spans="20:21" ht="13.2" customHeight="1" x14ac:dyDescent="0.25">
      <c r="T88" s="48"/>
      <c r="U88" s="67"/>
    </row>
    <row r="89" spans="20:21" ht="13.2" customHeight="1" x14ac:dyDescent="0.25">
      <c r="T89" s="48"/>
      <c r="U89" s="67"/>
    </row>
    <row r="90" spans="20:21" ht="13.2" customHeight="1" x14ac:dyDescent="0.25">
      <c r="T90" s="48"/>
      <c r="U90" s="67"/>
    </row>
    <row r="91" spans="20:21" ht="13.2" customHeight="1" x14ac:dyDescent="0.25">
      <c r="T91" s="48"/>
      <c r="U91" s="67"/>
    </row>
    <row r="92" spans="20:21" ht="13.2" customHeight="1" x14ac:dyDescent="0.25">
      <c r="T92" s="48"/>
      <c r="U92" s="67"/>
    </row>
    <row r="93" spans="20:21" ht="13.2" customHeight="1" x14ac:dyDescent="0.25">
      <c r="T93" s="48"/>
      <c r="U93" s="67"/>
    </row>
    <row r="94" spans="20:21" ht="13.2" customHeight="1" x14ac:dyDescent="0.25">
      <c r="T94" s="48"/>
      <c r="U94" s="67"/>
    </row>
    <row r="95" spans="20:21" ht="13.2" customHeight="1" x14ac:dyDescent="0.25">
      <c r="T95" s="48"/>
      <c r="U95" s="67"/>
    </row>
    <row r="96" spans="20:21" ht="13.2" customHeight="1" x14ac:dyDescent="0.25">
      <c r="T96" s="48"/>
      <c r="U96" s="67"/>
    </row>
    <row r="97" spans="20:21" ht="13.2" customHeight="1" x14ac:dyDescent="0.25">
      <c r="T97" s="48"/>
      <c r="U97" s="67"/>
    </row>
    <row r="98" spans="20:21" ht="13.2" customHeight="1" x14ac:dyDescent="0.25">
      <c r="T98" s="48"/>
      <c r="U98" s="67"/>
    </row>
    <row r="99" spans="20:21" ht="13.2" customHeight="1" x14ac:dyDescent="0.25">
      <c r="T99" s="48"/>
      <c r="U99" s="67"/>
    </row>
    <row r="100" spans="20:21" ht="13.2" customHeight="1" x14ac:dyDescent="0.25">
      <c r="T100" s="48"/>
      <c r="U100" s="67"/>
    </row>
    <row r="101" spans="20:21" ht="13.2" customHeight="1" x14ac:dyDescent="0.25">
      <c r="T101" s="48"/>
      <c r="U101" s="67"/>
    </row>
    <row r="102" spans="20:21" ht="13.2" customHeight="1" x14ac:dyDescent="0.25">
      <c r="T102" s="48"/>
      <c r="U102" s="67"/>
    </row>
    <row r="103" spans="20:21" ht="13.2" customHeight="1" x14ac:dyDescent="0.25">
      <c r="T103" s="48"/>
      <c r="U103" s="67"/>
    </row>
    <row r="104" spans="20:21" ht="13.2" customHeight="1" x14ac:dyDescent="0.25">
      <c r="T104" s="48"/>
      <c r="U104" s="67"/>
    </row>
    <row r="105" spans="20:21" ht="13.2" customHeight="1" x14ac:dyDescent="0.25">
      <c r="T105" s="48"/>
      <c r="U105" s="67"/>
    </row>
    <row r="106" spans="20:21" ht="13.2" customHeight="1" x14ac:dyDescent="0.25">
      <c r="T106" s="48"/>
      <c r="U106" s="67"/>
    </row>
    <row r="107" spans="20:21" ht="13.2" customHeight="1" x14ac:dyDescent="0.25">
      <c r="T107" s="48"/>
      <c r="U107" s="67"/>
    </row>
    <row r="108" spans="20:21" ht="13.2" customHeight="1" x14ac:dyDescent="0.25">
      <c r="T108" s="48"/>
      <c r="U108" s="67"/>
    </row>
    <row r="109" spans="20:21" ht="13.2" customHeight="1" x14ac:dyDescent="0.25">
      <c r="T109" s="48"/>
      <c r="U109" s="67"/>
    </row>
    <row r="110" spans="20:21" ht="13.2" customHeight="1" x14ac:dyDescent="0.25">
      <c r="T110" s="48"/>
      <c r="U110" s="67"/>
    </row>
    <row r="111" spans="20:21" ht="13.2" customHeight="1" x14ac:dyDescent="0.25">
      <c r="T111" s="48"/>
      <c r="U111" s="67"/>
    </row>
    <row r="112" spans="20:21" ht="13.2" customHeight="1" x14ac:dyDescent="0.25">
      <c r="T112" s="48"/>
      <c r="U112" s="67"/>
    </row>
    <row r="113" spans="20:21" ht="13.2" customHeight="1" x14ac:dyDescent="0.25">
      <c r="T113" s="48"/>
      <c r="U113" s="67"/>
    </row>
    <row r="114" spans="20:21" ht="13.2" customHeight="1" x14ac:dyDescent="0.25">
      <c r="T114" s="48"/>
      <c r="U114" s="67"/>
    </row>
    <row r="115" spans="20:21" ht="13.2" customHeight="1" x14ac:dyDescent="0.25">
      <c r="T115" s="48"/>
      <c r="U115" s="67"/>
    </row>
    <row r="116" spans="20:21" ht="13.2" customHeight="1" x14ac:dyDescent="0.25">
      <c r="T116" s="48"/>
      <c r="U116" s="67"/>
    </row>
    <row r="117" spans="20:21" ht="13.2" customHeight="1" x14ac:dyDescent="0.25">
      <c r="T117" s="48"/>
      <c r="U117" s="67"/>
    </row>
    <row r="118" spans="20:21" ht="13.2" customHeight="1" x14ac:dyDescent="0.25">
      <c r="T118" s="48"/>
      <c r="U118" s="67"/>
    </row>
    <row r="119" spans="20:21" ht="13.2" customHeight="1" x14ac:dyDescent="0.25">
      <c r="T119" s="48"/>
      <c r="U119" s="67"/>
    </row>
    <row r="120" spans="20:21" ht="13.2" customHeight="1" x14ac:dyDescent="0.25">
      <c r="T120" s="48"/>
      <c r="U120" s="67"/>
    </row>
    <row r="121" spans="20:21" ht="13.2" customHeight="1" x14ac:dyDescent="0.25">
      <c r="T121" s="48"/>
      <c r="U121" s="67"/>
    </row>
    <row r="122" spans="20:21" ht="13.2" customHeight="1" x14ac:dyDescent="0.25">
      <c r="T122" s="48"/>
      <c r="U122" s="67"/>
    </row>
    <row r="123" spans="20:21" ht="13.2" customHeight="1" x14ac:dyDescent="0.25">
      <c r="T123" s="48"/>
      <c r="U123" s="67"/>
    </row>
    <row r="124" spans="20:21" ht="13.2" customHeight="1" x14ac:dyDescent="0.25">
      <c r="T124" s="48"/>
      <c r="U124" s="67"/>
    </row>
    <row r="125" spans="20:21" ht="13.2" customHeight="1" x14ac:dyDescent="0.25">
      <c r="T125" s="48"/>
      <c r="U125" s="67"/>
    </row>
    <row r="126" spans="20:21" ht="13.2" customHeight="1" x14ac:dyDescent="0.25">
      <c r="T126" s="48"/>
      <c r="U126" s="67"/>
    </row>
    <row r="127" spans="20:21" ht="13.2" customHeight="1" x14ac:dyDescent="0.25">
      <c r="T127" s="48"/>
      <c r="U127" s="67"/>
    </row>
    <row r="128" spans="20:21" ht="13.2" customHeight="1" x14ac:dyDescent="0.25">
      <c r="T128" s="48"/>
      <c r="U128" s="67"/>
    </row>
    <row r="129" spans="20:21" ht="13.2" customHeight="1" x14ac:dyDescent="0.25">
      <c r="T129" s="48"/>
      <c r="U129" s="67"/>
    </row>
    <row r="130" spans="20:21" ht="13.2" customHeight="1" x14ac:dyDescent="0.25">
      <c r="T130" s="48"/>
      <c r="U130" s="67"/>
    </row>
    <row r="131" spans="20:21" ht="13.2" customHeight="1" x14ac:dyDescent="0.25">
      <c r="T131" s="48"/>
      <c r="U131" s="67"/>
    </row>
    <row r="132" spans="20:21" ht="13.2" customHeight="1" x14ac:dyDescent="0.25">
      <c r="T132" s="48"/>
      <c r="U132" s="67"/>
    </row>
    <row r="133" spans="20:21" ht="13.2" customHeight="1" x14ac:dyDescent="0.25">
      <c r="T133" s="48"/>
      <c r="U133" s="67"/>
    </row>
    <row r="134" spans="20:21" ht="13.2" customHeight="1" x14ac:dyDescent="0.25">
      <c r="T134" s="48"/>
      <c r="U134" s="67"/>
    </row>
    <row r="135" spans="20:21" ht="13.2" customHeight="1" x14ac:dyDescent="0.25">
      <c r="T135" s="48"/>
      <c r="U135" s="67"/>
    </row>
    <row r="136" spans="20:21" ht="13.2" customHeight="1" x14ac:dyDescent="0.25">
      <c r="T136" s="48"/>
      <c r="U136" s="67"/>
    </row>
    <row r="137" spans="20:21" ht="13.2" customHeight="1" x14ac:dyDescent="0.25">
      <c r="T137" s="48"/>
      <c r="U137" s="67"/>
    </row>
    <row r="138" spans="20:21" ht="13.2" customHeight="1" x14ac:dyDescent="0.25">
      <c r="T138" s="48"/>
      <c r="U138" s="67"/>
    </row>
    <row r="139" spans="20:21" ht="13.2" customHeight="1" x14ac:dyDescent="0.25">
      <c r="T139" s="48"/>
      <c r="U139" s="67"/>
    </row>
    <row r="140" spans="20:21" ht="13.2" customHeight="1" x14ac:dyDescent="0.25">
      <c r="T140" s="48"/>
      <c r="U140" s="67"/>
    </row>
    <row r="141" spans="20:21" ht="13.2" customHeight="1" x14ac:dyDescent="0.25">
      <c r="T141" s="48"/>
      <c r="U141" s="67"/>
    </row>
    <row r="142" spans="20:21" ht="13.2" customHeight="1" x14ac:dyDescent="0.25">
      <c r="T142" s="48"/>
      <c r="U142" s="67"/>
    </row>
    <row r="143" spans="20:21" ht="13.2" customHeight="1" x14ac:dyDescent="0.25">
      <c r="T143" s="48"/>
      <c r="U143" s="67"/>
    </row>
    <row r="144" spans="20:21" ht="13.2" customHeight="1" x14ac:dyDescent="0.25">
      <c r="T144" s="48"/>
      <c r="U144" s="67"/>
    </row>
    <row r="145" spans="20:21" ht="13.2" customHeight="1" x14ac:dyDescent="0.25">
      <c r="T145" s="48"/>
      <c r="U145" s="67"/>
    </row>
    <row r="146" spans="20:21" ht="13.2" customHeight="1" x14ac:dyDescent="0.25">
      <c r="T146" s="48"/>
      <c r="U146" s="67"/>
    </row>
    <row r="147" spans="20:21" ht="13.2" customHeight="1" x14ac:dyDescent="0.25">
      <c r="T147" s="48"/>
      <c r="U147" s="67"/>
    </row>
    <row r="148" spans="20:21" ht="13.2" customHeight="1" x14ac:dyDescent="0.25">
      <c r="T148" s="48"/>
      <c r="U148" s="67"/>
    </row>
    <row r="149" spans="20:21" ht="13.2" customHeight="1" x14ac:dyDescent="0.25">
      <c r="T149" s="48"/>
      <c r="U149" s="67"/>
    </row>
    <row r="150" spans="20:21" ht="13.2" customHeight="1" x14ac:dyDescent="0.25">
      <c r="T150" s="48"/>
      <c r="U150" s="67"/>
    </row>
    <row r="151" spans="20:21" ht="13.2" customHeight="1" x14ac:dyDescent="0.25">
      <c r="T151" s="48"/>
      <c r="U151" s="67"/>
    </row>
    <row r="152" spans="20:21" ht="13.2" customHeight="1" x14ac:dyDescent="0.25">
      <c r="T152" s="48"/>
      <c r="U152" s="67"/>
    </row>
    <row r="153" spans="20:21" ht="13.2" customHeight="1" x14ac:dyDescent="0.25">
      <c r="T153" s="48"/>
      <c r="U153" s="67"/>
    </row>
    <row r="154" spans="20:21" ht="13.2" customHeight="1" x14ac:dyDescent="0.25">
      <c r="T154" s="48"/>
      <c r="U154" s="67"/>
    </row>
    <row r="155" spans="20:21" ht="13.2" customHeight="1" x14ac:dyDescent="0.25">
      <c r="T155" s="48"/>
      <c r="U155" s="67"/>
    </row>
    <row r="156" spans="20:21" ht="13.2" customHeight="1" x14ac:dyDescent="0.25">
      <c r="T156" s="48"/>
      <c r="U156" s="67"/>
    </row>
    <row r="157" spans="20:21" ht="13.2" customHeight="1" x14ac:dyDescent="0.25">
      <c r="T157" s="48"/>
      <c r="U157" s="67"/>
    </row>
    <row r="158" spans="20:21" ht="13.2" customHeight="1" x14ac:dyDescent="0.25">
      <c r="T158" s="48"/>
      <c r="U158" s="67"/>
    </row>
    <row r="159" spans="20:21" ht="13.2" customHeight="1" x14ac:dyDescent="0.25">
      <c r="T159" s="48"/>
      <c r="U159" s="67"/>
    </row>
    <row r="160" spans="20:21" ht="13.2" customHeight="1" x14ac:dyDescent="0.25">
      <c r="T160" s="48"/>
      <c r="U160" s="67"/>
    </row>
    <row r="161" spans="20:21" ht="13.2" customHeight="1" x14ac:dyDescent="0.25">
      <c r="T161" s="48"/>
      <c r="U161" s="67"/>
    </row>
    <row r="162" spans="20:21" ht="13.2" customHeight="1" x14ac:dyDescent="0.25">
      <c r="T162" s="48"/>
      <c r="U162" s="67"/>
    </row>
    <row r="163" spans="20:21" ht="13.2" customHeight="1" x14ac:dyDescent="0.25">
      <c r="T163" s="48"/>
      <c r="U163" s="67"/>
    </row>
    <row r="164" spans="20:21" ht="13.2" customHeight="1" x14ac:dyDescent="0.25">
      <c r="T164" s="48"/>
      <c r="U164" s="67"/>
    </row>
    <row r="165" spans="20:21" ht="13.2" customHeight="1" x14ac:dyDescent="0.25">
      <c r="T165" s="48"/>
      <c r="U165" s="67"/>
    </row>
    <row r="166" spans="20:21" ht="13.2" customHeight="1" x14ac:dyDescent="0.25">
      <c r="T166" s="48"/>
      <c r="U166" s="67"/>
    </row>
    <row r="167" spans="20:21" ht="13.2" customHeight="1" x14ac:dyDescent="0.25">
      <c r="T167" s="48"/>
      <c r="U167" s="67"/>
    </row>
    <row r="168" spans="20:21" ht="13.2" customHeight="1" x14ac:dyDescent="0.25">
      <c r="T168" s="48"/>
      <c r="U168" s="67"/>
    </row>
    <row r="169" spans="20:21" ht="13.2" customHeight="1" x14ac:dyDescent="0.25">
      <c r="T169" s="48"/>
      <c r="U169" s="67"/>
    </row>
    <row r="170" spans="20:21" ht="13.2" customHeight="1" x14ac:dyDescent="0.25">
      <c r="T170" s="48"/>
      <c r="U170" s="67"/>
    </row>
    <row r="171" spans="20:21" ht="13.2" customHeight="1" x14ac:dyDescent="0.25">
      <c r="T171" s="48"/>
      <c r="U171" s="67"/>
    </row>
    <row r="172" spans="20:21" ht="13.2" customHeight="1" x14ac:dyDescent="0.25">
      <c r="T172" s="48"/>
      <c r="U172" s="67"/>
    </row>
    <row r="173" spans="20:21" ht="13.2" customHeight="1" x14ac:dyDescent="0.25">
      <c r="T173" s="48"/>
      <c r="U173" s="67"/>
    </row>
    <row r="174" spans="20:21" ht="13.2" customHeight="1" x14ac:dyDescent="0.25">
      <c r="T174" s="48"/>
      <c r="U174" s="67"/>
    </row>
    <row r="175" spans="20:21" ht="13.2" customHeight="1" x14ac:dyDescent="0.25">
      <c r="T175" s="48"/>
      <c r="U175" s="67"/>
    </row>
    <row r="176" spans="20:21" ht="13.2" customHeight="1" x14ac:dyDescent="0.25">
      <c r="T176" s="48"/>
      <c r="U176" s="67"/>
    </row>
    <row r="177" spans="20:21" ht="13.2" customHeight="1" x14ac:dyDescent="0.25">
      <c r="T177" s="48"/>
      <c r="U177" s="67"/>
    </row>
    <row r="178" spans="20:21" ht="13.2" customHeight="1" x14ac:dyDescent="0.25">
      <c r="T178" s="48"/>
      <c r="U178" s="67"/>
    </row>
    <row r="179" spans="20:21" ht="13.2" customHeight="1" x14ac:dyDescent="0.25">
      <c r="T179" s="48"/>
      <c r="U179" s="67"/>
    </row>
    <row r="180" spans="20:21" ht="13.2" customHeight="1" x14ac:dyDescent="0.25">
      <c r="T180" s="48"/>
      <c r="U180" s="67"/>
    </row>
    <row r="181" spans="20:21" ht="13.2" customHeight="1" x14ac:dyDescent="0.25">
      <c r="T181" s="48"/>
      <c r="U181" s="67"/>
    </row>
    <row r="182" spans="20:21" ht="13.2" customHeight="1" x14ac:dyDescent="0.25">
      <c r="T182" s="48"/>
      <c r="U182" s="67"/>
    </row>
    <row r="183" spans="20:21" ht="13.2" customHeight="1" x14ac:dyDescent="0.25">
      <c r="T183" s="48"/>
      <c r="U183" s="67"/>
    </row>
    <row r="184" spans="20:21" ht="13.2" customHeight="1" x14ac:dyDescent="0.25">
      <c r="T184" s="48"/>
      <c r="U184" s="67"/>
    </row>
    <row r="185" spans="20:21" ht="13.2" customHeight="1" x14ac:dyDescent="0.25">
      <c r="T185" s="48"/>
      <c r="U185" s="67"/>
    </row>
    <row r="186" spans="20:21" ht="13.2" customHeight="1" x14ac:dyDescent="0.25">
      <c r="T186" s="48"/>
      <c r="U186" s="67"/>
    </row>
    <row r="187" spans="20:21" ht="13.2" customHeight="1" x14ac:dyDescent="0.25">
      <c r="T187" s="48"/>
      <c r="U187" s="67"/>
    </row>
    <row r="188" spans="20:21" ht="13.2" customHeight="1" x14ac:dyDescent="0.25">
      <c r="T188" s="48"/>
      <c r="U188" s="67"/>
    </row>
    <row r="189" spans="20:21" ht="13.2" customHeight="1" x14ac:dyDescent="0.25">
      <c r="T189" s="48"/>
      <c r="U189" s="67"/>
    </row>
    <row r="190" spans="20:21" ht="13.2" customHeight="1" x14ac:dyDescent="0.25">
      <c r="T190" s="48"/>
      <c r="U190" s="67"/>
    </row>
    <row r="191" spans="20:21" ht="13.2" customHeight="1" x14ac:dyDescent="0.25">
      <c r="T191" s="48"/>
      <c r="U191" s="67"/>
    </row>
    <row r="192" spans="20:21" ht="13.2" customHeight="1" x14ac:dyDescent="0.25">
      <c r="T192" s="48"/>
      <c r="U192" s="67"/>
    </row>
    <row r="193" spans="20:21" ht="13.2" customHeight="1" x14ac:dyDescent="0.25">
      <c r="T193" s="48"/>
      <c r="U193" s="67"/>
    </row>
    <row r="194" spans="20:21" ht="13.2" customHeight="1" x14ac:dyDescent="0.25">
      <c r="T194" s="48"/>
      <c r="U194" s="67"/>
    </row>
    <row r="195" spans="20:21" ht="13.2" customHeight="1" x14ac:dyDescent="0.25">
      <c r="T195" s="48"/>
      <c r="U195" s="67"/>
    </row>
    <row r="196" spans="20:21" ht="13.2" customHeight="1" x14ac:dyDescent="0.25">
      <c r="T196" s="48"/>
      <c r="U196" s="67"/>
    </row>
    <row r="197" spans="20:21" ht="13.2" customHeight="1" x14ac:dyDescent="0.25">
      <c r="T197" s="48"/>
      <c r="U197" s="67"/>
    </row>
    <row r="198" spans="20:21" ht="13.2" customHeight="1" x14ac:dyDescent="0.25">
      <c r="T198" s="48"/>
      <c r="U198" s="67"/>
    </row>
    <row r="199" spans="20:21" ht="13.2" customHeight="1" x14ac:dyDescent="0.25">
      <c r="T199" s="48"/>
      <c r="U199" s="67"/>
    </row>
    <row r="200" spans="20:21" ht="13.2" customHeight="1" x14ac:dyDescent="0.25">
      <c r="T200" s="48"/>
      <c r="U200" s="67"/>
    </row>
  </sheetData>
  <mergeCells count="4">
    <mergeCell ref="D2:E2"/>
    <mergeCell ref="K2:R2"/>
    <mergeCell ref="B2:C2"/>
    <mergeCell ref="F2:J2"/>
  </mergeCells>
  <phoneticPr fontId="27"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7月">
    <tabColor rgb="FFC00000"/>
    <pageSetUpPr fitToPage="1"/>
  </sheetPr>
  <dimension ref="A1:M191"/>
  <sheetViews>
    <sheetView zoomScaleNormal="100" workbookViewId="0">
      <pane xSplit="1" ySplit="3" topLeftCell="B4" activePane="bottomRight" state="frozen"/>
      <selection activeCell="C16" sqref="C16"/>
      <selection pane="topRight" activeCell="C16" sqref="C16"/>
      <selection pane="bottomLeft" activeCell="C16" sqref="C16"/>
      <selection pane="bottomRight" activeCell="C16" sqref="C16"/>
    </sheetView>
  </sheetViews>
  <sheetFormatPr defaultRowHeight="18" customHeight="1" x14ac:dyDescent="0.25"/>
  <cols>
    <col min="1" max="1" width="11.44140625" style="177" customWidth="1"/>
    <col min="2" max="2" width="10" style="177" bestFit="1" customWidth="1"/>
    <col min="3" max="3" width="9.33203125" style="177" bestFit="1" customWidth="1"/>
    <col min="4" max="4" width="8.21875" style="177" bestFit="1" customWidth="1"/>
    <col min="5" max="5" width="10" style="177" bestFit="1" customWidth="1"/>
    <col min="6" max="7" width="9.33203125" style="177" bestFit="1" customWidth="1"/>
    <col min="8" max="8" width="14.6640625" style="178" bestFit="1" customWidth="1"/>
    <col min="9" max="9" width="8.5546875" style="178" bestFit="1" customWidth="1"/>
    <col min="10" max="10" width="35.88671875" style="179" bestFit="1" customWidth="1"/>
    <col min="11" max="13" width="8.88671875" style="179"/>
  </cols>
  <sheetData>
    <row r="1" spans="1:13" s="175" customFormat="1" ht="18" customHeight="1" x14ac:dyDescent="0.25">
      <c r="A1" s="85" t="s">
        <v>0</v>
      </c>
      <c r="B1" s="302" t="s">
        <v>52</v>
      </c>
      <c r="C1" s="304" t="s">
        <v>53</v>
      </c>
      <c r="D1" s="301"/>
      <c r="E1" s="305"/>
      <c r="F1" s="305"/>
      <c r="G1" s="305"/>
      <c r="H1" s="306" t="s">
        <v>54</v>
      </c>
      <c r="I1" s="303"/>
      <c r="J1" s="86"/>
      <c r="K1" s="86"/>
      <c r="L1" s="86"/>
      <c r="M1" s="86"/>
    </row>
    <row r="2" spans="1:13" s="175" customFormat="1" ht="29.25" customHeight="1" x14ac:dyDescent="0.25">
      <c r="A2" s="87" t="s">
        <v>5</v>
      </c>
      <c r="B2" s="303"/>
      <c r="C2" s="87" t="s">
        <v>55</v>
      </c>
      <c r="D2" s="88" t="s">
        <v>56</v>
      </c>
      <c r="E2" s="87" t="s">
        <v>57</v>
      </c>
      <c r="F2" s="87" t="s">
        <v>58</v>
      </c>
      <c r="G2" s="87" t="s">
        <v>19</v>
      </c>
      <c r="H2" s="88" t="s">
        <v>59</v>
      </c>
      <c r="I2" s="89" t="s">
        <v>60</v>
      </c>
      <c r="J2" s="86"/>
      <c r="K2" s="86"/>
      <c r="L2" s="86"/>
      <c r="M2" s="86"/>
    </row>
    <row r="3" spans="1:13" s="176" customFormat="1" ht="12" x14ac:dyDescent="0.25">
      <c r="A3" s="90" t="s">
        <v>24</v>
      </c>
      <c r="B3" s="91">
        <f t="shared" ref="B3:G3" si="0">SUM(B4:B18)</f>
        <v>29911</v>
      </c>
      <c r="C3" s="91">
        <f t="shared" si="0"/>
        <v>35006</v>
      </c>
      <c r="D3" s="92">
        <f t="shared" si="0"/>
        <v>5950</v>
      </c>
      <c r="E3" s="91">
        <f t="shared" si="0"/>
        <v>5</v>
      </c>
      <c r="F3" s="91">
        <f t="shared" si="0"/>
        <v>13397</v>
      </c>
      <c r="G3" s="91">
        <f t="shared" si="0"/>
        <v>17017</v>
      </c>
      <c r="H3" s="93">
        <f t="shared" ref="H3:H17" si="1">(E3+F3)/(C3-D3)</f>
        <v>0.46124724669603523</v>
      </c>
      <c r="I3" s="94">
        <f t="shared" ref="I3:I17" si="2">G3/B3</f>
        <v>0.56892113269365785</v>
      </c>
      <c r="J3" s="95"/>
      <c r="K3" s="95"/>
      <c r="L3" s="95"/>
      <c r="M3" s="95"/>
    </row>
    <row r="4" spans="1:13" s="170" customFormat="1" ht="12" x14ac:dyDescent="0.25">
      <c r="A4" s="96" t="s">
        <v>25</v>
      </c>
      <c r="B4" s="35">
        <v>12000</v>
      </c>
      <c r="C4" s="35">
        <v>23031</v>
      </c>
      <c r="D4" s="37">
        <v>3671</v>
      </c>
      <c r="E4" s="35">
        <v>0</v>
      </c>
      <c r="F4" s="35">
        <v>3800</v>
      </c>
      <c r="G4" s="35">
        <v>4800</v>
      </c>
      <c r="H4" s="97">
        <f t="shared" si="1"/>
        <v>0.1962809917355372</v>
      </c>
      <c r="I4" s="98">
        <f t="shared" si="2"/>
        <v>0.4</v>
      </c>
      <c r="J4" s="99"/>
      <c r="K4" s="99"/>
      <c r="L4" s="99"/>
      <c r="M4" s="99"/>
    </row>
    <row r="5" spans="1:13" s="170" customFormat="1" ht="12" x14ac:dyDescent="0.25">
      <c r="A5" s="96" t="s">
        <v>26</v>
      </c>
      <c r="B5" s="35">
        <v>1385</v>
      </c>
      <c r="C5" s="35">
        <v>1419</v>
      </c>
      <c r="D5" s="37">
        <v>0</v>
      </c>
      <c r="E5" s="35">
        <v>0</v>
      </c>
      <c r="F5" s="35">
        <v>941</v>
      </c>
      <c r="G5" s="35">
        <v>907</v>
      </c>
      <c r="H5" s="97">
        <f t="shared" si="1"/>
        <v>0.6631430584918957</v>
      </c>
      <c r="I5" s="98">
        <f t="shared" si="2"/>
        <v>0.65487364620938626</v>
      </c>
      <c r="J5" s="99"/>
      <c r="K5" s="99"/>
      <c r="L5" s="99"/>
      <c r="M5" s="99"/>
    </row>
    <row r="6" spans="1:13" s="170" customFormat="1" ht="12" x14ac:dyDescent="0.25">
      <c r="A6" s="96" t="s">
        <v>28</v>
      </c>
      <c r="B6" s="35">
        <v>6000</v>
      </c>
      <c r="C6" s="35">
        <v>4930</v>
      </c>
      <c r="D6" s="37">
        <v>993</v>
      </c>
      <c r="E6" s="35">
        <v>0</v>
      </c>
      <c r="F6" s="35">
        <v>3937</v>
      </c>
      <c r="G6" s="35">
        <v>3900</v>
      </c>
      <c r="H6" s="97">
        <f t="shared" si="1"/>
        <v>1</v>
      </c>
      <c r="I6" s="98">
        <f t="shared" si="2"/>
        <v>0.65</v>
      </c>
      <c r="J6" s="99" t="s">
        <v>61</v>
      </c>
      <c r="K6" s="99"/>
      <c r="L6" s="99"/>
      <c r="M6" s="99"/>
    </row>
    <row r="7" spans="1:13" s="170" customFormat="1" ht="12" x14ac:dyDescent="0.25">
      <c r="A7" s="96" t="s">
        <v>30</v>
      </c>
      <c r="B7" s="35"/>
      <c r="C7" s="35">
        <v>747</v>
      </c>
      <c r="D7" s="37"/>
      <c r="E7" s="35"/>
      <c r="F7" s="35">
        <v>747</v>
      </c>
      <c r="G7" s="35"/>
      <c r="H7" s="97">
        <f t="shared" si="1"/>
        <v>1</v>
      </c>
      <c r="I7" s="98" t="e">
        <f t="shared" si="2"/>
        <v>#DIV/0!</v>
      </c>
      <c r="J7" s="99"/>
      <c r="K7" s="99"/>
      <c r="L7" s="99"/>
      <c r="M7" s="99"/>
    </row>
    <row r="8" spans="1:13" s="170" customFormat="1" ht="12" x14ac:dyDescent="0.25">
      <c r="A8" s="96" t="s">
        <v>31</v>
      </c>
      <c r="B8" s="35">
        <v>5500</v>
      </c>
      <c r="C8" s="35">
        <v>2849</v>
      </c>
      <c r="D8" s="37">
        <v>322</v>
      </c>
      <c r="E8" s="35">
        <v>0</v>
      </c>
      <c r="F8" s="100">
        <v>2312</v>
      </c>
      <c r="G8" s="35">
        <f>B8*0.65</f>
        <v>3575</v>
      </c>
      <c r="H8" s="97">
        <f t="shared" si="1"/>
        <v>0.91491887613771272</v>
      </c>
      <c r="I8" s="98">
        <f t="shared" si="2"/>
        <v>0.65</v>
      </c>
      <c r="J8" s="99"/>
      <c r="K8" s="99"/>
      <c r="L8" s="99"/>
      <c r="M8" s="99"/>
    </row>
    <row r="9" spans="1:13" s="170" customFormat="1" ht="12" x14ac:dyDescent="0.25">
      <c r="A9" s="96" t="s">
        <v>32</v>
      </c>
      <c r="B9" s="35">
        <v>1600</v>
      </c>
      <c r="C9" s="35">
        <v>865</v>
      </c>
      <c r="D9" s="37">
        <v>275</v>
      </c>
      <c r="E9" s="35">
        <v>0</v>
      </c>
      <c r="F9" s="47">
        <v>590</v>
      </c>
      <c r="G9" s="35">
        <v>1120</v>
      </c>
      <c r="H9" s="97">
        <f t="shared" si="1"/>
        <v>1</v>
      </c>
      <c r="I9" s="98">
        <f t="shared" si="2"/>
        <v>0.7</v>
      </c>
      <c r="J9" s="99"/>
      <c r="K9" s="99"/>
      <c r="L9" s="99"/>
      <c r="M9" s="99"/>
    </row>
    <row r="10" spans="1:13" s="170" customFormat="1" ht="12" x14ac:dyDescent="0.25">
      <c r="A10" s="96" t="s">
        <v>34</v>
      </c>
      <c r="B10" s="35">
        <v>1200</v>
      </c>
      <c r="C10" s="35">
        <v>713</v>
      </c>
      <c r="D10" s="37">
        <v>0</v>
      </c>
      <c r="E10" s="35">
        <v>0</v>
      </c>
      <c r="F10" s="35">
        <v>713</v>
      </c>
      <c r="G10" s="35">
        <v>780</v>
      </c>
      <c r="H10" s="97">
        <f t="shared" si="1"/>
        <v>1</v>
      </c>
      <c r="I10" s="98">
        <f t="shared" si="2"/>
        <v>0.65</v>
      </c>
      <c r="J10" s="99"/>
      <c r="K10" s="99"/>
      <c r="L10" s="99"/>
      <c r="M10" s="99"/>
    </row>
    <row r="11" spans="1:13" s="170" customFormat="1" ht="12" x14ac:dyDescent="0.25">
      <c r="A11" s="96" t="s">
        <v>36</v>
      </c>
      <c r="B11" s="35">
        <v>1155</v>
      </c>
      <c r="C11" s="35">
        <v>359</v>
      </c>
      <c r="D11" s="37">
        <v>66</v>
      </c>
      <c r="E11" s="35">
        <v>0</v>
      </c>
      <c r="F11" s="35">
        <v>293</v>
      </c>
      <c r="G11" s="35">
        <v>924</v>
      </c>
      <c r="H11" s="97">
        <f t="shared" si="1"/>
        <v>1</v>
      </c>
      <c r="I11" s="98">
        <f t="shared" si="2"/>
        <v>0.8</v>
      </c>
      <c r="J11" s="99"/>
      <c r="K11" s="99"/>
      <c r="L11" s="99"/>
      <c r="M11" s="99"/>
    </row>
    <row r="12" spans="1:13" s="170" customFormat="1" ht="12" x14ac:dyDescent="0.25">
      <c r="A12" s="96" t="s">
        <v>37</v>
      </c>
      <c r="B12" s="35">
        <v>400</v>
      </c>
      <c r="C12" s="35">
        <v>0</v>
      </c>
      <c r="D12" s="37">
        <v>0</v>
      </c>
      <c r="E12" s="35">
        <v>0</v>
      </c>
      <c r="F12" s="35">
        <v>0</v>
      </c>
      <c r="G12" s="35">
        <v>400</v>
      </c>
      <c r="H12" s="97" t="e">
        <f t="shared" si="1"/>
        <v>#DIV/0!</v>
      </c>
      <c r="I12" s="98">
        <f t="shared" si="2"/>
        <v>1</v>
      </c>
      <c r="J12" s="99"/>
      <c r="K12" s="99"/>
      <c r="L12" s="99"/>
      <c r="M12" s="99"/>
    </row>
    <row r="13" spans="1:13" s="170" customFormat="1" ht="12" x14ac:dyDescent="0.25">
      <c r="A13" s="96" t="s">
        <v>38</v>
      </c>
      <c r="B13" s="35">
        <v>150</v>
      </c>
      <c r="C13" s="35">
        <v>0</v>
      </c>
      <c r="D13" s="37">
        <v>599</v>
      </c>
      <c r="E13" s="35">
        <v>0</v>
      </c>
      <c r="F13" s="35">
        <v>0</v>
      </c>
      <c r="G13" s="35">
        <v>150</v>
      </c>
      <c r="H13" s="98">
        <f t="shared" si="1"/>
        <v>0</v>
      </c>
      <c r="I13" s="98">
        <f t="shared" si="2"/>
        <v>1</v>
      </c>
      <c r="J13" s="99"/>
      <c r="K13" s="99"/>
      <c r="L13" s="99"/>
      <c r="M13" s="99"/>
    </row>
    <row r="14" spans="1:13" s="170" customFormat="1" ht="12" x14ac:dyDescent="0.25">
      <c r="A14" s="96" t="s">
        <v>39</v>
      </c>
      <c r="B14" s="35"/>
      <c r="C14" s="35"/>
      <c r="D14" s="37"/>
      <c r="E14" s="35"/>
      <c r="F14" s="35"/>
      <c r="G14" s="35"/>
      <c r="H14" s="97" t="e">
        <f t="shared" si="1"/>
        <v>#DIV/0!</v>
      </c>
      <c r="I14" s="98" t="e">
        <f t="shared" si="2"/>
        <v>#DIV/0!</v>
      </c>
      <c r="J14" s="99"/>
      <c r="K14" s="99"/>
      <c r="L14" s="99"/>
      <c r="M14" s="99"/>
    </row>
    <row r="15" spans="1:13" s="170" customFormat="1" ht="12" collapsed="1" x14ac:dyDescent="0.25">
      <c r="A15" s="96" t="s">
        <v>40</v>
      </c>
      <c r="B15" s="35"/>
      <c r="C15" s="35"/>
      <c r="D15" s="37"/>
      <c r="E15" s="35"/>
      <c r="F15" s="35"/>
      <c r="G15" s="35"/>
      <c r="H15" s="97" t="e">
        <f t="shared" si="1"/>
        <v>#DIV/0!</v>
      </c>
      <c r="I15" s="98" t="e">
        <f t="shared" si="2"/>
        <v>#DIV/0!</v>
      </c>
      <c r="J15" s="99"/>
      <c r="K15" s="99"/>
      <c r="L15" s="99"/>
      <c r="M15" s="99"/>
    </row>
    <row r="16" spans="1:13" s="170" customFormat="1" ht="12" collapsed="1" x14ac:dyDescent="0.25">
      <c r="A16" s="96" t="s">
        <v>47</v>
      </c>
      <c r="B16" s="35">
        <v>300</v>
      </c>
      <c r="C16" s="35">
        <v>93</v>
      </c>
      <c r="D16" s="37">
        <v>24</v>
      </c>
      <c r="E16" s="35">
        <v>5</v>
      </c>
      <c r="F16" s="35">
        <v>64</v>
      </c>
      <c r="G16" s="35">
        <v>240</v>
      </c>
      <c r="H16" s="97">
        <f t="shared" si="1"/>
        <v>1</v>
      </c>
      <c r="I16" s="98">
        <f t="shared" si="2"/>
        <v>0.8</v>
      </c>
      <c r="J16" s="99"/>
      <c r="K16" s="99"/>
      <c r="L16" s="99"/>
      <c r="M16" s="99"/>
    </row>
    <row r="17" spans="1:13" s="170" customFormat="1" ht="12" x14ac:dyDescent="0.25">
      <c r="A17" s="96" t="s">
        <v>48</v>
      </c>
      <c r="B17" s="35">
        <v>221</v>
      </c>
      <c r="C17" s="35">
        <v>0</v>
      </c>
      <c r="D17" s="37">
        <v>0</v>
      </c>
      <c r="E17" s="35">
        <v>0</v>
      </c>
      <c r="F17" s="35">
        <v>0</v>
      </c>
      <c r="G17" s="35">
        <v>221</v>
      </c>
      <c r="H17" s="97" t="e">
        <f t="shared" si="1"/>
        <v>#DIV/0!</v>
      </c>
      <c r="I17" s="98">
        <f t="shared" si="2"/>
        <v>1</v>
      </c>
      <c r="J17" s="99"/>
      <c r="K17" s="99"/>
      <c r="L17" s="99"/>
      <c r="M17" s="99"/>
    </row>
    <row r="18" spans="1:13" s="170" customFormat="1" ht="12" x14ac:dyDescent="0.25">
      <c r="A18" s="96" t="s">
        <v>49</v>
      </c>
      <c r="B18" s="35"/>
      <c r="C18" s="35"/>
      <c r="D18" s="37"/>
      <c r="E18" s="35"/>
      <c r="F18" s="35"/>
      <c r="G18" s="35"/>
      <c r="H18" s="97"/>
      <c r="I18" s="98"/>
      <c r="J18" s="99"/>
      <c r="K18" s="99"/>
      <c r="L18" s="99"/>
      <c r="M18" s="99"/>
    </row>
    <row r="19" spans="1:13" s="170" customFormat="1" ht="12" x14ac:dyDescent="0.25">
      <c r="A19" s="96" t="s">
        <v>51</v>
      </c>
      <c r="B19" s="35"/>
      <c r="C19" s="35" t="s">
        <v>41</v>
      </c>
      <c r="D19" s="37" t="s">
        <v>41</v>
      </c>
      <c r="E19" s="35" t="s">
        <v>41</v>
      </c>
      <c r="F19" s="35" t="s">
        <v>41</v>
      </c>
      <c r="G19" s="35" t="s">
        <v>41</v>
      </c>
      <c r="H19" s="97"/>
      <c r="I19" s="98"/>
      <c r="J19" s="99"/>
      <c r="K19" s="99"/>
      <c r="L19" s="99"/>
      <c r="M19" s="99"/>
    </row>
    <row r="20" spans="1:13" ht="18" customHeight="1" x14ac:dyDescent="0.25">
      <c r="H20" s="101"/>
      <c r="I20" s="102"/>
    </row>
    <row r="21" spans="1:13" s="170" customFormat="1" ht="15" customHeight="1" x14ac:dyDescent="0.25">
      <c r="A21" s="103"/>
      <c r="B21" s="103"/>
      <c r="C21" s="103"/>
      <c r="D21" s="104"/>
      <c r="E21" s="103"/>
      <c r="F21" s="103"/>
      <c r="G21" s="103"/>
      <c r="H21" s="104"/>
      <c r="I21" s="105"/>
      <c r="J21" s="99"/>
      <c r="K21" s="99"/>
      <c r="L21" s="99"/>
      <c r="M21" s="99"/>
    </row>
    <row r="22" spans="1:13" s="170" customFormat="1" ht="18" customHeight="1" x14ac:dyDescent="0.25">
      <c r="A22" s="99"/>
      <c r="B22" s="99"/>
      <c r="C22" s="99"/>
      <c r="D22" s="99"/>
      <c r="E22" s="99"/>
      <c r="F22" s="99"/>
      <c r="G22" s="99"/>
      <c r="H22" s="101"/>
      <c r="I22" s="99"/>
      <c r="J22" s="99"/>
      <c r="K22" s="99"/>
      <c r="L22" s="99"/>
      <c r="M22" s="99"/>
    </row>
    <row r="23" spans="1:13" ht="18" customHeight="1" x14ac:dyDescent="0.25">
      <c r="H23" s="101"/>
      <c r="I23" s="102"/>
    </row>
    <row r="24" spans="1:13" ht="18" customHeight="1" x14ac:dyDescent="0.25">
      <c r="H24" s="101"/>
      <c r="I24" s="102"/>
    </row>
    <row r="25" spans="1:13" ht="18" customHeight="1" x14ac:dyDescent="0.25">
      <c r="B25" s="106"/>
      <c r="H25" s="101"/>
      <c r="I25" s="102"/>
    </row>
    <row r="26" spans="1:13" ht="13.2" customHeight="1" x14ac:dyDescent="0.25">
      <c r="H26" s="101"/>
      <c r="I26" s="102"/>
    </row>
    <row r="27" spans="1:13" ht="13.2" customHeight="1" x14ac:dyDescent="0.25">
      <c r="H27" s="101"/>
      <c r="I27" s="102"/>
    </row>
    <row r="28" spans="1:13" ht="13.2" customHeight="1" x14ac:dyDescent="0.25">
      <c r="H28" s="101"/>
      <c r="I28" s="102"/>
    </row>
    <row r="29" spans="1:13" ht="13.2" customHeight="1" x14ac:dyDescent="0.25">
      <c r="H29" s="101"/>
      <c r="I29" s="102"/>
    </row>
    <row r="30" spans="1:13" ht="13.2" customHeight="1" x14ac:dyDescent="0.25">
      <c r="H30" s="101"/>
      <c r="I30" s="102"/>
    </row>
    <row r="31" spans="1:13" ht="13.2" customHeight="1" x14ac:dyDescent="0.25">
      <c r="H31" s="101"/>
      <c r="I31" s="102"/>
    </row>
    <row r="32" spans="1:13" ht="13.2" customHeight="1" x14ac:dyDescent="0.25">
      <c r="H32" s="101"/>
      <c r="I32" s="102"/>
    </row>
    <row r="33" spans="8:9" ht="13.2" customHeight="1" x14ac:dyDescent="0.25">
      <c r="H33" s="101"/>
      <c r="I33" s="102"/>
    </row>
    <row r="34" spans="8:9" ht="13.2" customHeight="1" x14ac:dyDescent="0.25">
      <c r="H34" s="101"/>
      <c r="I34" s="102"/>
    </row>
    <row r="35" spans="8:9" ht="13.2" customHeight="1" x14ac:dyDescent="0.25">
      <c r="H35" s="101"/>
      <c r="I35" s="102"/>
    </row>
    <row r="36" spans="8:9" ht="13.2" customHeight="1" x14ac:dyDescent="0.25">
      <c r="H36" s="101"/>
      <c r="I36" s="102"/>
    </row>
    <row r="37" spans="8:9" ht="13.2" customHeight="1" x14ac:dyDescent="0.25">
      <c r="H37" s="101"/>
      <c r="I37" s="102"/>
    </row>
    <row r="38" spans="8:9" ht="13.2" customHeight="1" x14ac:dyDescent="0.25">
      <c r="H38" s="101"/>
      <c r="I38" s="102"/>
    </row>
    <row r="39" spans="8:9" ht="13.2" customHeight="1" x14ac:dyDescent="0.25">
      <c r="H39" s="101"/>
      <c r="I39" s="102"/>
    </row>
    <row r="40" spans="8:9" ht="13.2" customHeight="1" x14ac:dyDescent="0.25">
      <c r="H40" s="101"/>
      <c r="I40" s="102"/>
    </row>
    <row r="41" spans="8:9" ht="13.2" customHeight="1" x14ac:dyDescent="0.25">
      <c r="H41" s="101"/>
      <c r="I41" s="102"/>
    </row>
    <row r="42" spans="8:9" ht="13.2" customHeight="1" x14ac:dyDescent="0.25">
      <c r="H42" s="101"/>
      <c r="I42" s="102"/>
    </row>
    <row r="43" spans="8:9" ht="13.2" customHeight="1" x14ac:dyDescent="0.25">
      <c r="H43" s="101"/>
      <c r="I43" s="102"/>
    </row>
    <row r="44" spans="8:9" ht="13.2" customHeight="1" x14ac:dyDescent="0.25">
      <c r="H44" s="101"/>
      <c r="I44" s="102"/>
    </row>
    <row r="45" spans="8:9" ht="13.2" customHeight="1" x14ac:dyDescent="0.25">
      <c r="H45" s="101"/>
      <c r="I45" s="102"/>
    </row>
    <row r="46" spans="8:9" ht="13.2" customHeight="1" x14ac:dyDescent="0.25">
      <c r="H46" s="101"/>
      <c r="I46" s="102"/>
    </row>
    <row r="47" spans="8:9" ht="13.2" customHeight="1" x14ac:dyDescent="0.25">
      <c r="H47" s="101"/>
      <c r="I47" s="102"/>
    </row>
    <row r="48" spans="8:9" ht="13.2" customHeight="1" x14ac:dyDescent="0.25">
      <c r="H48" s="101"/>
      <c r="I48" s="102"/>
    </row>
    <row r="49" spans="8:9" ht="13.2" customHeight="1" x14ac:dyDescent="0.25">
      <c r="H49" s="101"/>
      <c r="I49" s="102"/>
    </row>
    <row r="50" spans="8:9" ht="13.2" customHeight="1" x14ac:dyDescent="0.25">
      <c r="H50" s="101"/>
      <c r="I50" s="102"/>
    </row>
    <row r="51" spans="8:9" ht="13.2" customHeight="1" x14ac:dyDescent="0.25">
      <c r="H51" s="101"/>
      <c r="I51" s="102"/>
    </row>
    <row r="52" spans="8:9" ht="13.2" customHeight="1" x14ac:dyDescent="0.25">
      <c r="H52" s="101"/>
      <c r="I52" s="102"/>
    </row>
    <row r="53" spans="8:9" ht="13.2" customHeight="1" x14ac:dyDescent="0.25">
      <c r="H53" s="101"/>
      <c r="I53" s="102"/>
    </row>
    <row r="54" spans="8:9" ht="13.2" customHeight="1" x14ac:dyDescent="0.25">
      <c r="H54" s="101"/>
      <c r="I54" s="102"/>
    </row>
    <row r="55" spans="8:9" ht="13.2" customHeight="1" x14ac:dyDescent="0.25">
      <c r="H55" s="101"/>
      <c r="I55" s="102"/>
    </row>
    <row r="56" spans="8:9" ht="13.2" customHeight="1" x14ac:dyDescent="0.25">
      <c r="H56" s="101"/>
      <c r="I56" s="102"/>
    </row>
    <row r="57" spans="8:9" ht="13.2" customHeight="1" x14ac:dyDescent="0.25">
      <c r="H57" s="101"/>
      <c r="I57" s="102"/>
    </row>
    <row r="58" spans="8:9" ht="13.2" customHeight="1" x14ac:dyDescent="0.25">
      <c r="H58" s="101"/>
      <c r="I58" s="102"/>
    </row>
    <row r="59" spans="8:9" ht="13.2" customHeight="1" x14ac:dyDescent="0.25">
      <c r="H59" s="101"/>
      <c r="I59" s="102"/>
    </row>
    <row r="60" spans="8:9" ht="13.2" customHeight="1" x14ac:dyDescent="0.25">
      <c r="H60" s="101"/>
      <c r="I60" s="102"/>
    </row>
    <row r="61" spans="8:9" ht="13.2" customHeight="1" x14ac:dyDescent="0.25">
      <c r="H61" s="101"/>
      <c r="I61" s="102"/>
    </row>
    <row r="62" spans="8:9" ht="13.2" customHeight="1" x14ac:dyDescent="0.25">
      <c r="H62" s="101"/>
      <c r="I62" s="102"/>
    </row>
    <row r="63" spans="8:9" ht="13.2" customHeight="1" x14ac:dyDescent="0.25">
      <c r="H63" s="101"/>
      <c r="I63" s="102"/>
    </row>
    <row r="64" spans="8:9" ht="13.2" customHeight="1" x14ac:dyDescent="0.25">
      <c r="H64" s="101"/>
      <c r="I64" s="102"/>
    </row>
    <row r="65" spans="8:9" ht="13.2" customHeight="1" x14ac:dyDescent="0.25">
      <c r="H65" s="101"/>
      <c r="I65" s="102"/>
    </row>
    <row r="66" spans="8:9" ht="13.2" customHeight="1" x14ac:dyDescent="0.25">
      <c r="H66" s="101"/>
      <c r="I66" s="102"/>
    </row>
    <row r="67" spans="8:9" ht="13.2" customHeight="1" x14ac:dyDescent="0.25">
      <c r="H67" s="101"/>
      <c r="I67" s="102"/>
    </row>
    <row r="68" spans="8:9" ht="13.2" customHeight="1" x14ac:dyDescent="0.25">
      <c r="H68" s="101"/>
      <c r="I68" s="102"/>
    </row>
    <row r="69" spans="8:9" ht="13.2" customHeight="1" x14ac:dyDescent="0.25">
      <c r="H69" s="101"/>
      <c r="I69" s="102"/>
    </row>
    <row r="70" spans="8:9" ht="13.2" customHeight="1" x14ac:dyDescent="0.25">
      <c r="H70" s="101"/>
      <c r="I70" s="102"/>
    </row>
    <row r="71" spans="8:9" ht="13.2" customHeight="1" x14ac:dyDescent="0.25">
      <c r="H71" s="101"/>
      <c r="I71" s="102"/>
    </row>
    <row r="72" spans="8:9" ht="13.2" customHeight="1" x14ac:dyDescent="0.25">
      <c r="H72" s="101"/>
      <c r="I72" s="102"/>
    </row>
    <row r="73" spans="8:9" ht="13.2" customHeight="1" x14ac:dyDescent="0.25">
      <c r="H73" s="101"/>
      <c r="I73" s="102"/>
    </row>
    <row r="74" spans="8:9" ht="13.2" customHeight="1" x14ac:dyDescent="0.25">
      <c r="H74" s="101"/>
      <c r="I74" s="102"/>
    </row>
    <row r="75" spans="8:9" ht="13.2" customHeight="1" x14ac:dyDescent="0.25">
      <c r="H75" s="101"/>
      <c r="I75" s="102"/>
    </row>
    <row r="76" spans="8:9" ht="13.2" customHeight="1" x14ac:dyDescent="0.25">
      <c r="H76" s="101"/>
      <c r="I76" s="102"/>
    </row>
    <row r="77" spans="8:9" ht="13.2" customHeight="1" x14ac:dyDescent="0.25">
      <c r="H77" s="101"/>
      <c r="I77" s="102"/>
    </row>
    <row r="78" spans="8:9" ht="13.2" customHeight="1" x14ac:dyDescent="0.25">
      <c r="H78" s="101"/>
      <c r="I78" s="102"/>
    </row>
    <row r="79" spans="8:9" ht="13.2" customHeight="1" x14ac:dyDescent="0.25">
      <c r="H79" s="101"/>
      <c r="I79" s="102"/>
    </row>
    <row r="80" spans="8:9" ht="13.2" customHeight="1" x14ac:dyDescent="0.25">
      <c r="H80" s="101"/>
      <c r="I80" s="102"/>
    </row>
    <row r="81" spans="8:9" ht="13.2" customHeight="1" x14ac:dyDescent="0.25">
      <c r="H81" s="101"/>
      <c r="I81" s="102"/>
    </row>
    <row r="82" spans="8:9" ht="13.2" customHeight="1" x14ac:dyDescent="0.25">
      <c r="H82" s="101"/>
      <c r="I82" s="102"/>
    </row>
    <row r="83" spans="8:9" ht="13.2" customHeight="1" x14ac:dyDescent="0.25">
      <c r="H83" s="101"/>
      <c r="I83" s="102"/>
    </row>
    <row r="84" spans="8:9" ht="13.2" customHeight="1" x14ac:dyDescent="0.25">
      <c r="H84" s="101"/>
      <c r="I84" s="102"/>
    </row>
    <row r="85" spans="8:9" ht="13.2" customHeight="1" x14ac:dyDescent="0.25">
      <c r="H85" s="101"/>
      <c r="I85" s="102"/>
    </row>
    <row r="86" spans="8:9" ht="13.2" customHeight="1" x14ac:dyDescent="0.25">
      <c r="H86" s="101"/>
      <c r="I86" s="102"/>
    </row>
    <row r="87" spans="8:9" ht="13.2" customHeight="1" x14ac:dyDescent="0.25">
      <c r="H87" s="101"/>
      <c r="I87" s="102"/>
    </row>
    <row r="88" spans="8:9" ht="13.2" customHeight="1" x14ac:dyDescent="0.25">
      <c r="H88" s="101"/>
      <c r="I88" s="102"/>
    </row>
    <row r="89" spans="8:9" ht="13.2" customHeight="1" x14ac:dyDescent="0.25">
      <c r="H89" s="101"/>
      <c r="I89" s="102"/>
    </row>
    <row r="90" spans="8:9" ht="13.2" customHeight="1" x14ac:dyDescent="0.25">
      <c r="H90" s="101"/>
      <c r="I90" s="102"/>
    </row>
    <row r="91" spans="8:9" ht="13.2" customHeight="1" x14ac:dyDescent="0.25">
      <c r="H91" s="101"/>
      <c r="I91" s="102"/>
    </row>
    <row r="92" spans="8:9" ht="13.2" customHeight="1" x14ac:dyDescent="0.25">
      <c r="H92" s="101"/>
      <c r="I92" s="102"/>
    </row>
    <row r="93" spans="8:9" ht="13.2" customHeight="1" x14ac:dyDescent="0.25">
      <c r="H93" s="101"/>
      <c r="I93" s="102"/>
    </row>
    <row r="94" spans="8:9" ht="13.2" customHeight="1" x14ac:dyDescent="0.25">
      <c r="H94" s="101"/>
      <c r="I94" s="102"/>
    </row>
    <row r="95" spans="8:9" ht="13.2" customHeight="1" x14ac:dyDescent="0.25">
      <c r="H95" s="101"/>
      <c r="I95" s="102"/>
    </row>
    <row r="96" spans="8:9" ht="13.2" customHeight="1" x14ac:dyDescent="0.25">
      <c r="H96" s="101"/>
      <c r="I96" s="102"/>
    </row>
    <row r="97" spans="8:9" ht="13.2" customHeight="1" x14ac:dyDescent="0.25">
      <c r="H97" s="101"/>
      <c r="I97" s="102"/>
    </row>
    <row r="98" spans="8:9" ht="13.2" customHeight="1" x14ac:dyDescent="0.25">
      <c r="H98" s="101"/>
      <c r="I98" s="102"/>
    </row>
    <row r="99" spans="8:9" ht="13.2" customHeight="1" x14ac:dyDescent="0.25">
      <c r="H99" s="101"/>
      <c r="I99" s="102"/>
    </row>
    <row r="100" spans="8:9" ht="13.2" customHeight="1" x14ac:dyDescent="0.25">
      <c r="H100" s="101"/>
      <c r="I100" s="102"/>
    </row>
    <row r="101" spans="8:9" ht="13.2" customHeight="1" x14ac:dyDescent="0.25">
      <c r="H101" s="101"/>
      <c r="I101" s="102"/>
    </row>
    <row r="102" spans="8:9" ht="13.2" customHeight="1" x14ac:dyDescent="0.25">
      <c r="H102" s="101"/>
      <c r="I102" s="102"/>
    </row>
    <row r="103" spans="8:9" ht="13.2" customHeight="1" x14ac:dyDescent="0.25">
      <c r="H103" s="101"/>
      <c r="I103" s="102"/>
    </row>
    <row r="104" spans="8:9" ht="13.2" customHeight="1" x14ac:dyDescent="0.25">
      <c r="H104" s="101"/>
      <c r="I104" s="102"/>
    </row>
    <row r="105" spans="8:9" ht="13.2" customHeight="1" x14ac:dyDescent="0.25">
      <c r="H105" s="101"/>
      <c r="I105" s="102"/>
    </row>
    <row r="106" spans="8:9" ht="13.2" customHeight="1" x14ac:dyDescent="0.25">
      <c r="H106" s="101"/>
      <c r="I106" s="102"/>
    </row>
    <row r="107" spans="8:9" ht="13.2" customHeight="1" x14ac:dyDescent="0.25">
      <c r="H107" s="101"/>
      <c r="I107" s="102"/>
    </row>
    <row r="108" spans="8:9" ht="13.2" customHeight="1" x14ac:dyDescent="0.25">
      <c r="H108" s="101"/>
      <c r="I108" s="102"/>
    </row>
    <row r="109" spans="8:9" ht="13.2" customHeight="1" x14ac:dyDescent="0.25">
      <c r="H109" s="101"/>
      <c r="I109" s="102"/>
    </row>
    <row r="110" spans="8:9" ht="13.2" customHeight="1" x14ac:dyDescent="0.25">
      <c r="H110" s="101"/>
      <c r="I110" s="102"/>
    </row>
    <row r="111" spans="8:9" ht="13.2" customHeight="1" x14ac:dyDescent="0.25">
      <c r="H111" s="101"/>
      <c r="I111" s="102"/>
    </row>
    <row r="112" spans="8:9" ht="13.2" customHeight="1" x14ac:dyDescent="0.25">
      <c r="H112" s="101"/>
      <c r="I112" s="102"/>
    </row>
    <row r="113" spans="8:9" ht="13.2" customHeight="1" x14ac:dyDescent="0.25">
      <c r="H113" s="101"/>
      <c r="I113" s="102"/>
    </row>
    <row r="114" spans="8:9" ht="13.2" customHeight="1" x14ac:dyDescent="0.25">
      <c r="H114" s="101"/>
      <c r="I114" s="102"/>
    </row>
    <row r="115" spans="8:9" ht="13.2" customHeight="1" x14ac:dyDescent="0.25">
      <c r="H115" s="101"/>
      <c r="I115" s="102"/>
    </row>
    <row r="116" spans="8:9" ht="13.2" customHeight="1" x14ac:dyDescent="0.25">
      <c r="H116" s="101"/>
      <c r="I116" s="102"/>
    </row>
    <row r="117" spans="8:9" ht="13.2" customHeight="1" x14ac:dyDescent="0.25">
      <c r="H117" s="101"/>
      <c r="I117" s="102"/>
    </row>
    <row r="118" spans="8:9" ht="13.2" customHeight="1" x14ac:dyDescent="0.25">
      <c r="H118" s="101"/>
      <c r="I118" s="102"/>
    </row>
    <row r="119" spans="8:9" ht="13.2" customHeight="1" x14ac:dyDescent="0.25">
      <c r="H119" s="101"/>
      <c r="I119" s="102"/>
    </row>
    <row r="120" spans="8:9" ht="13.2" customHeight="1" x14ac:dyDescent="0.25">
      <c r="H120" s="101"/>
      <c r="I120" s="102"/>
    </row>
    <row r="121" spans="8:9" ht="13.2" customHeight="1" x14ac:dyDescent="0.25">
      <c r="H121" s="101"/>
      <c r="I121" s="102"/>
    </row>
    <row r="122" spans="8:9" ht="13.2" customHeight="1" x14ac:dyDescent="0.25">
      <c r="H122" s="101"/>
      <c r="I122" s="102"/>
    </row>
    <row r="123" spans="8:9" ht="13.2" customHeight="1" x14ac:dyDescent="0.25">
      <c r="H123" s="101"/>
      <c r="I123" s="102"/>
    </row>
    <row r="124" spans="8:9" ht="13.2" customHeight="1" x14ac:dyDescent="0.25">
      <c r="H124" s="101"/>
      <c r="I124" s="102"/>
    </row>
    <row r="125" spans="8:9" ht="13.2" customHeight="1" x14ac:dyDescent="0.25">
      <c r="H125" s="101"/>
      <c r="I125" s="102"/>
    </row>
    <row r="126" spans="8:9" ht="13.2" customHeight="1" x14ac:dyDescent="0.25">
      <c r="H126" s="101"/>
      <c r="I126" s="102"/>
    </row>
    <row r="127" spans="8:9" ht="13.2" customHeight="1" x14ac:dyDescent="0.25">
      <c r="H127" s="101"/>
      <c r="I127" s="102"/>
    </row>
    <row r="128" spans="8:9" ht="13.2" customHeight="1" x14ac:dyDescent="0.25">
      <c r="H128" s="101"/>
      <c r="I128" s="102"/>
    </row>
    <row r="129" spans="8:9" ht="13.2" customHeight="1" x14ac:dyDescent="0.25">
      <c r="H129" s="101"/>
      <c r="I129" s="102"/>
    </row>
    <row r="130" spans="8:9" ht="13.2" customHeight="1" x14ac:dyDescent="0.25">
      <c r="H130" s="101"/>
      <c r="I130" s="102"/>
    </row>
    <row r="131" spans="8:9" ht="13.2" customHeight="1" x14ac:dyDescent="0.25">
      <c r="H131" s="101"/>
      <c r="I131" s="102"/>
    </row>
    <row r="132" spans="8:9" ht="13.2" customHeight="1" x14ac:dyDescent="0.25">
      <c r="H132" s="101"/>
      <c r="I132" s="102"/>
    </row>
    <row r="133" spans="8:9" ht="13.2" customHeight="1" x14ac:dyDescent="0.25">
      <c r="H133" s="101"/>
      <c r="I133" s="102"/>
    </row>
    <row r="134" spans="8:9" ht="13.2" customHeight="1" x14ac:dyDescent="0.25">
      <c r="H134" s="101"/>
      <c r="I134" s="102"/>
    </row>
    <row r="135" spans="8:9" ht="13.2" customHeight="1" x14ac:dyDescent="0.25">
      <c r="H135" s="101"/>
      <c r="I135" s="102"/>
    </row>
    <row r="136" spans="8:9" ht="13.2" customHeight="1" x14ac:dyDescent="0.25">
      <c r="H136" s="101"/>
      <c r="I136" s="102"/>
    </row>
    <row r="137" spans="8:9" ht="13.2" customHeight="1" x14ac:dyDescent="0.25">
      <c r="H137" s="101"/>
      <c r="I137" s="102"/>
    </row>
    <row r="138" spans="8:9" ht="13.2" customHeight="1" x14ac:dyDescent="0.25">
      <c r="H138" s="101"/>
      <c r="I138" s="102"/>
    </row>
    <row r="139" spans="8:9" ht="13.2" customHeight="1" x14ac:dyDescent="0.25">
      <c r="H139" s="101"/>
      <c r="I139" s="102"/>
    </row>
    <row r="140" spans="8:9" ht="13.2" customHeight="1" x14ac:dyDescent="0.25">
      <c r="H140" s="101"/>
      <c r="I140" s="102"/>
    </row>
    <row r="141" spans="8:9" ht="13.2" customHeight="1" x14ac:dyDescent="0.25">
      <c r="H141" s="101"/>
      <c r="I141" s="102"/>
    </row>
    <row r="142" spans="8:9" ht="13.2" customHeight="1" x14ac:dyDescent="0.25">
      <c r="H142" s="101"/>
      <c r="I142" s="102"/>
    </row>
    <row r="143" spans="8:9" ht="13.2" customHeight="1" x14ac:dyDescent="0.25">
      <c r="H143" s="101"/>
      <c r="I143" s="102"/>
    </row>
    <row r="144" spans="8:9" ht="13.2" customHeight="1" x14ac:dyDescent="0.25">
      <c r="H144" s="101"/>
      <c r="I144" s="102"/>
    </row>
    <row r="145" spans="8:9" ht="13.2" customHeight="1" x14ac:dyDescent="0.25">
      <c r="H145" s="101"/>
      <c r="I145" s="102"/>
    </row>
    <row r="146" spans="8:9" ht="13.2" customHeight="1" x14ac:dyDescent="0.25">
      <c r="H146" s="101"/>
      <c r="I146" s="102"/>
    </row>
    <row r="147" spans="8:9" ht="13.2" customHeight="1" x14ac:dyDescent="0.25">
      <c r="H147" s="101"/>
      <c r="I147" s="102"/>
    </row>
    <row r="148" spans="8:9" ht="13.2" customHeight="1" x14ac:dyDescent="0.25">
      <c r="H148" s="101"/>
      <c r="I148" s="102"/>
    </row>
    <row r="149" spans="8:9" ht="13.2" customHeight="1" x14ac:dyDescent="0.25">
      <c r="H149" s="101"/>
      <c r="I149" s="102"/>
    </row>
    <row r="150" spans="8:9" ht="13.2" customHeight="1" x14ac:dyDescent="0.25">
      <c r="H150" s="101"/>
      <c r="I150" s="102"/>
    </row>
    <row r="151" spans="8:9" ht="13.2" customHeight="1" x14ac:dyDescent="0.25">
      <c r="H151" s="101"/>
      <c r="I151" s="102"/>
    </row>
    <row r="152" spans="8:9" ht="13.2" customHeight="1" x14ac:dyDescent="0.25">
      <c r="H152" s="101"/>
      <c r="I152" s="102"/>
    </row>
    <row r="153" spans="8:9" ht="13.2" customHeight="1" x14ac:dyDescent="0.25">
      <c r="H153" s="101"/>
      <c r="I153" s="102"/>
    </row>
    <row r="154" spans="8:9" ht="13.2" customHeight="1" x14ac:dyDescent="0.25">
      <c r="H154" s="101"/>
      <c r="I154" s="102"/>
    </row>
    <row r="155" spans="8:9" ht="13.2" customHeight="1" x14ac:dyDescent="0.25">
      <c r="H155" s="101"/>
      <c r="I155" s="102"/>
    </row>
    <row r="156" spans="8:9" ht="13.2" customHeight="1" x14ac:dyDescent="0.25">
      <c r="H156" s="101"/>
      <c r="I156" s="102"/>
    </row>
    <row r="157" spans="8:9" ht="13.2" customHeight="1" x14ac:dyDescent="0.25">
      <c r="H157" s="101"/>
      <c r="I157" s="102"/>
    </row>
    <row r="158" spans="8:9" ht="13.2" customHeight="1" x14ac:dyDescent="0.25">
      <c r="H158" s="101"/>
      <c r="I158" s="102"/>
    </row>
    <row r="159" spans="8:9" ht="13.2" customHeight="1" x14ac:dyDescent="0.25">
      <c r="H159" s="101"/>
      <c r="I159" s="102"/>
    </row>
    <row r="160" spans="8:9" ht="13.2" customHeight="1" x14ac:dyDescent="0.25">
      <c r="H160" s="101"/>
      <c r="I160" s="102"/>
    </row>
    <row r="161" spans="8:9" ht="13.2" customHeight="1" x14ac:dyDescent="0.25">
      <c r="H161" s="101"/>
      <c r="I161" s="102"/>
    </row>
    <row r="162" spans="8:9" ht="13.2" customHeight="1" x14ac:dyDescent="0.25">
      <c r="H162" s="101"/>
      <c r="I162" s="102"/>
    </row>
    <row r="163" spans="8:9" ht="13.2" customHeight="1" x14ac:dyDescent="0.25">
      <c r="H163" s="101"/>
      <c r="I163" s="102"/>
    </row>
    <row r="164" spans="8:9" ht="13.2" customHeight="1" x14ac:dyDescent="0.25">
      <c r="H164" s="101"/>
      <c r="I164" s="102"/>
    </row>
    <row r="165" spans="8:9" ht="13.2" customHeight="1" x14ac:dyDescent="0.25">
      <c r="H165" s="101"/>
      <c r="I165" s="102"/>
    </row>
    <row r="166" spans="8:9" ht="13.2" customHeight="1" x14ac:dyDescent="0.25">
      <c r="H166" s="101"/>
      <c r="I166" s="102"/>
    </row>
    <row r="167" spans="8:9" ht="13.2" customHeight="1" x14ac:dyDescent="0.25">
      <c r="H167" s="101"/>
      <c r="I167" s="102"/>
    </row>
    <row r="168" spans="8:9" ht="13.2" customHeight="1" x14ac:dyDescent="0.25">
      <c r="H168" s="101"/>
      <c r="I168" s="102"/>
    </row>
    <row r="169" spans="8:9" ht="13.2" customHeight="1" x14ac:dyDescent="0.25">
      <c r="H169" s="101"/>
      <c r="I169" s="102"/>
    </row>
    <row r="170" spans="8:9" ht="13.2" customHeight="1" x14ac:dyDescent="0.25">
      <c r="H170" s="101"/>
      <c r="I170" s="102"/>
    </row>
    <row r="171" spans="8:9" ht="13.2" customHeight="1" x14ac:dyDescent="0.25">
      <c r="H171" s="101"/>
      <c r="I171" s="102"/>
    </row>
    <row r="172" spans="8:9" ht="13.2" customHeight="1" x14ac:dyDescent="0.25">
      <c r="H172" s="101"/>
      <c r="I172" s="102"/>
    </row>
    <row r="173" spans="8:9" ht="13.2" customHeight="1" x14ac:dyDescent="0.25">
      <c r="H173" s="101"/>
      <c r="I173" s="102"/>
    </row>
    <row r="174" spans="8:9" ht="13.2" customHeight="1" x14ac:dyDescent="0.25">
      <c r="H174" s="101"/>
      <c r="I174" s="102"/>
    </row>
    <row r="175" spans="8:9" ht="13.2" customHeight="1" x14ac:dyDescent="0.25">
      <c r="H175" s="101"/>
      <c r="I175" s="102"/>
    </row>
    <row r="176" spans="8:9" ht="13.2" customHeight="1" x14ac:dyDescent="0.25">
      <c r="H176" s="101"/>
      <c r="I176" s="102"/>
    </row>
    <row r="177" spans="8:9" ht="13.2" customHeight="1" x14ac:dyDescent="0.25">
      <c r="H177" s="101"/>
      <c r="I177" s="102"/>
    </row>
    <row r="178" spans="8:9" ht="13.2" customHeight="1" x14ac:dyDescent="0.25">
      <c r="H178" s="101"/>
      <c r="I178" s="102"/>
    </row>
    <row r="179" spans="8:9" ht="13.2" customHeight="1" x14ac:dyDescent="0.25">
      <c r="H179" s="101"/>
      <c r="I179" s="102"/>
    </row>
    <row r="180" spans="8:9" ht="13.2" customHeight="1" x14ac:dyDescent="0.25">
      <c r="H180" s="101"/>
      <c r="I180" s="102"/>
    </row>
    <row r="181" spans="8:9" ht="13.2" customHeight="1" x14ac:dyDescent="0.25">
      <c r="H181" s="101"/>
      <c r="I181" s="102"/>
    </row>
    <row r="182" spans="8:9" ht="13.2" customHeight="1" x14ac:dyDescent="0.25">
      <c r="H182" s="101"/>
      <c r="I182" s="102"/>
    </row>
    <row r="183" spans="8:9" ht="13.2" customHeight="1" x14ac:dyDescent="0.25">
      <c r="H183" s="101"/>
      <c r="I183" s="102"/>
    </row>
    <row r="184" spans="8:9" ht="13.2" customHeight="1" x14ac:dyDescent="0.25">
      <c r="H184" s="101"/>
      <c r="I184" s="102"/>
    </row>
    <row r="185" spans="8:9" ht="13.2" customHeight="1" x14ac:dyDescent="0.25">
      <c r="H185" s="101"/>
      <c r="I185" s="102"/>
    </row>
    <row r="186" spans="8:9" ht="13.2" customHeight="1" x14ac:dyDescent="0.25">
      <c r="H186" s="101"/>
      <c r="I186" s="102"/>
    </row>
    <row r="187" spans="8:9" ht="13.2" customHeight="1" x14ac:dyDescent="0.25">
      <c r="H187" s="101"/>
      <c r="I187" s="102"/>
    </row>
    <row r="188" spans="8:9" ht="13.2" customHeight="1" x14ac:dyDescent="0.25">
      <c r="H188" s="101"/>
      <c r="I188" s="102"/>
    </row>
    <row r="189" spans="8:9" ht="13.2" customHeight="1" x14ac:dyDescent="0.25">
      <c r="H189" s="101"/>
      <c r="I189" s="102"/>
    </row>
    <row r="190" spans="8:9" ht="13.2" customHeight="1" x14ac:dyDescent="0.25">
      <c r="H190" s="101"/>
      <c r="I190" s="102"/>
    </row>
    <row r="191" spans="8:9" ht="13.2" customHeight="1" x14ac:dyDescent="0.25">
      <c r="H191" s="101"/>
      <c r="I191" s="102"/>
    </row>
  </sheetData>
  <mergeCells count="3">
    <mergeCell ref="B1:B2"/>
    <mergeCell ref="C1:G1"/>
    <mergeCell ref="H1:I1"/>
  </mergeCells>
  <phoneticPr fontId="27"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02任务进度分析及追赶动作">
    <tabColor rgb="FFFFC000"/>
  </sheetPr>
  <dimension ref="A1:H185"/>
  <sheetViews>
    <sheetView workbookViewId="0">
      <pane xSplit="2" ySplit="2" topLeftCell="C3" activePane="bottomRight" state="frozen"/>
      <selection pane="topRight"/>
      <selection pane="bottomLeft"/>
      <selection pane="bottomRight" activeCell="C3" sqref="C3"/>
    </sheetView>
  </sheetViews>
  <sheetFormatPr defaultColWidth="14.21875" defaultRowHeight="18" customHeight="1" x14ac:dyDescent="0.25"/>
  <cols>
    <col min="1" max="1" width="7.5546875" style="170" customWidth="1"/>
    <col min="2" max="2" width="9.77734375" style="180" customWidth="1"/>
    <col min="3" max="3" width="34.5546875" customWidth="1"/>
    <col min="4" max="4" width="50.77734375" customWidth="1"/>
    <col min="5" max="5" width="63.6640625" customWidth="1"/>
    <col min="6" max="6" width="14.109375" customWidth="1"/>
  </cols>
  <sheetData>
    <row r="1" spans="1:8" ht="27" customHeight="1" x14ac:dyDescent="0.25">
      <c r="A1" s="107" t="s">
        <v>62</v>
      </c>
    </row>
    <row r="2" spans="1:8" ht="43.5" customHeight="1" x14ac:dyDescent="0.25">
      <c r="A2" s="108" t="s">
        <v>5</v>
      </c>
      <c r="B2" s="109" t="s">
        <v>63</v>
      </c>
      <c r="C2" s="110" t="s">
        <v>263</v>
      </c>
      <c r="D2" s="110" t="s">
        <v>264</v>
      </c>
      <c r="E2" s="110" t="s">
        <v>265</v>
      </c>
    </row>
    <row r="3" spans="1:8" ht="288" x14ac:dyDescent="0.25">
      <c r="A3" s="111" t="s">
        <v>25</v>
      </c>
      <c r="B3" s="112" t="s">
        <v>64</v>
      </c>
      <c r="C3" s="113" t="s">
        <v>65</v>
      </c>
      <c r="D3" s="114" t="s">
        <v>66</v>
      </c>
      <c r="E3" s="115" t="s">
        <v>67</v>
      </c>
      <c r="H3" s="116" t="s">
        <v>68</v>
      </c>
    </row>
    <row r="4" spans="1:8" ht="148.5" customHeight="1" x14ac:dyDescent="0.25">
      <c r="A4" s="111" t="s">
        <v>26</v>
      </c>
      <c r="B4" s="112" t="s">
        <v>69</v>
      </c>
      <c r="C4" s="113" t="s">
        <v>70</v>
      </c>
      <c r="D4" s="114" t="s">
        <v>71</v>
      </c>
      <c r="E4" s="117" t="s">
        <v>72</v>
      </c>
    </row>
    <row r="5" spans="1:8" ht="132" x14ac:dyDescent="0.25">
      <c r="A5" s="77" t="s">
        <v>28</v>
      </c>
      <c r="B5" s="112" t="s">
        <v>73</v>
      </c>
      <c r="C5" s="113" t="s">
        <v>74</v>
      </c>
      <c r="D5" s="114" t="s">
        <v>75</v>
      </c>
      <c r="E5" s="117" t="s">
        <v>76</v>
      </c>
    </row>
    <row r="6" spans="1:8" ht="247.5" customHeight="1" x14ac:dyDescent="0.25">
      <c r="A6" s="77" t="s">
        <v>30</v>
      </c>
      <c r="B6" s="112" t="s">
        <v>77</v>
      </c>
      <c r="C6" s="113" t="s">
        <v>78</v>
      </c>
      <c r="D6" s="114" t="s">
        <v>79</v>
      </c>
      <c r="E6" s="117" t="s">
        <v>266</v>
      </c>
    </row>
    <row r="7" spans="1:8" ht="144" x14ac:dyDescent="0.25">
      <c r="A7" s="77" t="s">
        <v>31</v>
      </c>
      <c r="B7" s="112" t="s">
        <v>80</v>
      </c>
      <c r="C7" s="113" t="s">
        <v>81</v>
      </c>
      <c r="D7" s="114" t="s">
        <v>82</v>
      </c>
      <c r="E7" s="117" t="s">
        <v>83</v>
      </c>
    </row>
    <row r="8" spans="1:8" ht="132" x14ac:dyDescent="0.25">
      <c r="A8" s="77" t="s">
        <v>32</v>
      </c>
      <c r="B8" s="112" t="s">
        <v>84</v>
      </c>
      <c r="C8" s="113" t="s">
        <v>85</v>
      </c>
      <c r="D8" s="114" t="s">
        <v>86</v>
      </c>
      <c r="E8" s="117" t="s">
        <v>87</v>
      </c>
    </row>
    <row r="9" spans="1:8" ht="95.25" customHeight="1" x14ac:dyDescent="0.25">
      <c r="A9" s="77" t="s">
        <v>34</v>
      </c>
      <c r="B9" s="112" t="s">
        <v>88</v>
      </c>
      <c r="C9" s="113" t="s">
        <v>89</v>
      </c>
      <c r="D9" s="114" t="s">
        <v>90</v>
      </c>
      <c r="E9" s="117" t="s">
        <v>91</v>
      </c>
    </row>
    <row r="10" spans="1:8" ht="99" customHeight="1" x14ac:dyDescent="0.25">
      <c r="A10" s="77" t="s">
        <v>36</v>
      </c>
      <c r="B10" s="112" t="s">
        <v>92</v>
      </c>
      <c r="C10" s="113" t="s">
        <v>93</v>
      </c>
      <c r="D10" s="114" t="s">
        <v>94</v>
      </c>
      <c r="E10" s="117" t="s">
        <v>95</v>
      </c>
    </row>
    <row r="11" spans="1:8" ht="78" customHeight="1" x14ac:dyDescent="0.25">
      <c r="A11" s="77" t="s">
        <v>37</v>
      </c>
      <c r="B11" s="112" t="s">
        <v>96</v>
      </c>
      <c r="C11" s="113" t="s">
        <v>97</v>
      </c>
      <c r="D11" s="114" t="s">
        <v>98</v>
      </c>
      <c r="E11" s="117" t="s">
        <v>99</v>
      </c>
    </row>
    <row r="12" spans="1:8" ht="78" customHeight="1" x14ac:dyDescent="0.25">
      <c r="A12" s="77" t="s">
        <v>38</v>
      </c>
      <c r="B12" s="112" t="s">
        <v>96</v>
      </c>
      <c r="C12" s="113" t="s">
        <v>100</v>
      </c>
      <c r="D12" s="114" t="s">
        <v>101</v>
      </c>
      <c r="E12" s="117" t="s">
        <v>102</v>
      </c>
    </row>
    <row r="13" spans="1:8" ht="78" customHeight="1" x14ac:dyDescent="0.25">
      <c r="A13" s="77" t="s">
        <v>103</v>
      </c>
      <c r="B13" s="112" t="s">
        <v>96</v>
      </c>
      <c r="C13" s="113" t="s">
        <v>104</v>
      </c>
      <c r="D13" s="114" t="s">
        <v>105</v>
      </c>
      <c r="E13" s="117" t="s">
        <v>106</v>
      </c>
    </row>
    <row r="14" spans="1:8" ht="118.5" customHeight="1" x14ac:dyDescent="0.25">
      <c r="A14" s="77" t="s">
        <v>107</v>
      </c>
      <c r="B14" s="112" t="s">
        <v>108</v>
      </c>
      <c r="C14" s="113" t="s">
        <v>109</v>
      </c>
      <c r="D14" s="113" t="s">
        <v>110</v>
      </c>
      <c r="E14" s="118" t="s">
        <v>111</v>
      </c>
      <c r="F14" s="119"/>
    </row>
    <row r="15" spans="1:8" ht="78" customHeight="1" x14ac:dyDescent="0.25">
      <c r="A15" s="77" t="s">
        <v>112</v>
      </c>
      <c r="B15" s="112" t="s">
        <v>113</v>
      </c>
      <c r="C15" s="113" t="s">
        <v>114</v>
      </c>
      <c r="D15" s="113"/>
      <c r="E15" s="118" t="s">
        <v>115</v>
      </c>
    </row>
    <row r="16" spans="1:8" ht="13.8" x14ac:dyDescent="0.25">
      <c r="A16" s="48"/>
    </row>
    <row r="17" spans="1:1" ht="13.8" x14ac:dyDescent="0.25">
      <c r="A17" s="48"/>
    </row>
    <row r="18" spans="1:1" ht="13.8" x14ac:dyDescent="0.25">
      <c r="A18" s="48"/>
    </row>
    <row r="19" spans="1:1" ht="13.8" x14ac:dyDescent="0.25">
      <c r="A19" s="48"/>
    </row>
    <row r="20" spans="1:1" ht="13.8" x14ac:dyDescent="0.25">
      <c r="A20" s="48"/>
    </row>
    <row r="21" spans="1:1" ht="13.8" x14ac:dyDescent="0.25">
      <c r="A21" s="48"/>
    </row>
    <row r="22" spans="1:1" ht="13.8" x14ac:dyDescent="0.25">
      <c r="A22" s="48"/>
    </row>
    <row r="23" spans="1:1" ht="13.8" x14ac:dyDescent="0.25">
      <c r="A23" s="48"/>
    </row>
    <row r="24" spans="1:1" ht="13.8" x14ac:dyDescent="0.25">
      <c r="A24" s="48"/>
    </row>
    <row r="25" spans="1:1" ht="13.8" x14ac:dyDescent="0.25">
      <c r="A25" s="48"/>
    </row>
    <row r="26" spans="1:1" ht="13.8" x14ac:dyDescent="0.25">
      <c r="A26" s="48"/>
    </row>
    <row r="27" spans="1:1" ht="13.8" x14ac:dyDescent="0.25">
      <c r="A27" s="48"/>
    </row>
    <row r="28" spans="1:1" ht="13.8" x14ac:dyDescent="0.25">
      <c r="A28" s="48"/>
    </row>
    <row r="29" spans="1:1" ht="13.8" x14ac:dyDescent="0.25">
      <c r="A29" s="48"/>
    </row>
    <row r="30" spans="1:1" ht="13.8" x14ac:dyDescent="0.25">
      <c r="A30" s="48"/>
    </row>
    <row r="31" spans="1:1" ht="13.8" x14ac:dyDescent="0.25">
      <c r="A31" s="48"/>
    </row>
    <row r="32" spans="1:1" ht="13.8" x14ac:dyDescent="0.25">
      <c r="A32" s="48"/>
    </row>
    <row r="33" spans="1:1" ht="13.8" x14ac:dyDescent="0.25">
      <c r="A33" s="48"/>
    </row>
    <row r="34" spans="1:1" ht="13.8" x14ac:dyDescent="0.25">
      <c r="A34" s="48"/>
    </row>
    <row r="35" spans="1:1" ht="13.8" x14ac:dyDescent="0.25">
      <c r="A35" s="48"/>
    </row>
    <row r="36" spans="1:1" ht="13.8" x14ac:dyDescent="0.25">
      <c r="A36" s="48"/>
    </row>
    <row r="37" spans="1:1" ht="13.8" x14ac:dyDescent="0.25">
      <c r="A37" s="48"/>
    </row>
    <row r="38" spans="1:1" ht="13.8" x14ac:dyDescent="0.25">
      <c r="A38" s="48"/>
    </row>
    <row r="39" spans="1:1" ht="13.8" x14ac:dyDescent="0.25">
      <c r="A39" s="48"/>
    </row>
    <row r="40" spans="1:1" ht="13.8" x14ac:dyDescent="0.25">
      <c r="A40" s="48"/>
    </row>
    <row r="41" spans="1:1" ht="13.8" x14ac:dyDescent="0.25">
      <c r="A41" s="48"/>
    </row>
    <row r="42" spans="1:1" ht="13.8" x14ac:dyDescent="0.25">
      <c r="A42" s="48"/>
    </row>
    <row r="43" spans="1:1" ht="13.8" x14ac:dyDescent="0.25">
      <c r="A43" s="48"/>
    </row>
    <row r="44" spans="1:1" ht="13.8" x14ac:dyDescent="0.25">
      <c r="A44" s="48"/>
    </row>
    <row r="45" spans="1:1" ht="13.8" x14ac:dyDescent="0.25">
      <c r="A45" s="48"/>
    </row>
    <row r="46" spans="1:1" ht="13.8" x14ac:dyDescent="0.25">
      <c r="A46" s="48"/>
    </row>
    <row r="47" spans="1:1" ht="13.8" x14ac:dyDescent="0.25">
      <c r="A47" s="48"/>
    </row>
    <row r="48" spans="1:1" ht="13.8" x14ac:dyDescent="0.25">
      <c r="A48" s="48"/>
    </row>
    <row r="49" spans="1:1" ht="13.8" x14ac:dyDescent="0.25">
      <c r="A49" s="48"/>
    </row>
    <row r="50" spans="1:1" ht="13.8" x14ac:dyDescent="0.25">
      <c r="A50" s="48"/>
    </row>
    <row r="51" spans="1:1" ht="13.8" x14ac:dyDescent="0.25">
      <c r="A51" s="48"/>
    </row>
    <row r="52" spans="1:1" ht="13.8" x14ac:dyDescent="0.25">
      <c r="A52" s="48"/>
    </row>
    <row r="53" spans="1:1" ht="13.8" x14ac:dyDescent="0.25">
      <c r="A53" s="48"/>
    </row>
    <row r="54" spans="1:1" ht="13.8" x14ac:dyDescent="0.25">
      <c r="A54" s="48"/>
    </row>
    <row r="55" spans="1:1" ht="13.8" x14ac:dyDescent="0.25">
      <c r="A55" s="48"/>
    </row>
    <row r="56" spans="1:1" ht="13.8" x14ac:dyDescent="0.25">
      <c r="A56" s="48"/>
    </row>
    <row r="57" spans="1:1" ht="13.8" x14ac:dyDescent="0.25">
      <c r="A57" s="48"/>
    </row>
    <row r="58" spans="1:1" ht="13.8" x14ac:dyDescent="0.25">
      <c r="A58" s="48"/>
    </row>
    <row r="59" spans="1:1" ht="13.8" x14ac:dyDescent="0.25">
      <c r="A59" s="48"/>
    </row>
    <row r="60" spans="1:1" ht="13.8" x14ac:dyDescent="0.25">
      <c r="A60" s="48"/>
    </row>
    <row r="61" spans="1:1" ht="13.8" x14ac:dyDescent="0.25">
      <c r="A61" s="48"/>
    </row>
    <row r="62" spans="1:1" ht="13.8" x14ac:dyDescent="0.25">
      <c r="A62" s="48"/>
    </row>
    <row r="63" spans="1:1" ht="13.8" x14ac:dyDescent="0.25">
      <c r="A63" s="48"/>
    </row>
    <row r="64" spans="1:1" ht="13.8" x14ac:dyDescent="0.25">
      <c r="A64" s="48"/>
    </row>
    <row r="65" spans="1:1" ht="13.8" x14ac:dyDescent="0.25">
      <c r="A65" s="48"/>
    </row>
    <row r="66" spans="1:1" ht="13.8" x14ac:dyDescent="0.25">
      <c r="A66" s="48"/>
    </row>
    <row r="67" spans="1:1" ht="13.8" x14ac:dyDescent="0.25">
      <c r="A67" s="48"/>
    </row>
    <row r="68" spans="1:1" ht="13.8" x14ac:dyDescent="0.25">
      <c r="A68" s="48"/>
    </row>
    <row r="69" spans="1:1" ht="13.8" x14ac:dyDescent="0.25">
      <c r="A69" s="48"/>
    </row>
    <row r="70" spans="1:1" ht="13.8" x14ac:dyDescent="0.25">
      <c r="A70" s="48"/>
    </row>
    <row r="71" spans="1:1" ht="13.8" x14ac:dyDescent="0.25">
      <c r="A71" s="48"/>
    </row>
    <row r="72" spans="1:1" ht="13.8" x14ac:dyDescent="0.25">
      <c r="A72" s="48"/>
    </row>
    <row r="73" spans="1:1" ht="13.8" x14ac:dyDescent="0.25">
      <c r="A73" s="48"/>
    </row>
    <row r="74" spans="1:1" ht="13.8" x14ac:dyDescent="0.25">
      <c r="A74" s="48"/>
    </row>
    <row r="75" spans="1:1" ht="13.8" x14ac:dyDescent="0.25">
      <c r="A75" s="48"/>
    </row>
    <row r="76" spans="1:1" ht="13.8" x14ac:dyDescent="0.25">
      <c r="A76" s="48"/>
    </row>
    <row r="77" spans="1:1" ht="13.8" x14ac:dyDescent="0.25">
      <c r="A77" s="48"/>
    </row>
    <row r="78" spans="1:1" ht="13.8" x14ac:dyDescent="0.25">
      <c r="A78" s="48"/>
    </row>
    <row r="79" spans="1:1" ht="13.8" x14ac:dyDescent="0.25">
      <c r="A79" s="48"/>
    </row>
    <row r="80" spans="1:1" ht="13.8" x14ac:dyDescent="0.25">
      <c r="A80" s="48"/>
    </row>
    <row r="81" spans="1:1" ht="13.8" x14ac:dyDescent="0.25">
      <c r="A81" s="48"/>
    </row>
    <row r="82" spans="1:1" ht="13.8" x14ac:dyDescent="0.25">
      <c r="A82" s="48"/>
    </row>
    <row r="83" spans="1:1" ht="13.8" x14ac:dyDescent="0.25">
      <c r="A83" s="48"/>
    </row>
    <row r="84" spans="1:1" ht="13.8" x14ac:dyDescent="0.25">
      <c r="A84" s="48"/>
    </row>
    <row r="85" spans="1:1" ht="13.8" x14ac:dyDescent="0.25">
      <c r="A85" s="48"/>
    </row>
    <row r="86" spans="1:1" ht="13.8" x14ac:dyDescent="0.25">
      <c r="A86" s="48"/>
    </row>
    <row r="87" spans="1:1" ht="13.8" x14ac:dyDescent="0.25">
      <c r="A87" s="48"/>
    </row>
    <row r="88" spans="1:1" ht="13.8" x14ac:dyDescent="0.25">
      <c r="A88" s="48"/>
    </row>
    <row r="89" spans="1:1" ht="13.8" x14ac:dyDescent="0.25">
      <c r="A89" s="48"/>
    </row>
    <row r="90" spans="1:1" ht="13.8" x14ac:dyDescent="0.25">
      <c r="A90" s="48"/>
    </row>
    <row r="91" spans="1:1" ht="13.8" x14ac:dyDescent="0.25">
      <c r="A91" s="48"/>
    </row>
    <row r="92" spans="1:1" ht="13.8" x14ac:dyDescent="0.25">
      <c r="A92" s="48"/>
    </row>
    <row r="93" spans="1:1" ht="13.8" x14ac:dyDescent="0.25">
      <c r="A93" s="48"/>
    </row>
    <row r="94" spans="1:1" ht="13.8" x14ac:dyDescent="0.25">
      <c r="A94" s="48"/>
    </row>
    <row r="95" spans="1:1" ht="13.8" x14ac:dyDescent="0.25">
      <c r="A95" s="48"/>
    </row>
    <row r="96" spans="1:1" ht="13.8" x14ac:dyDescent="0.25">
      <c r="A96" s="48"/>
    </row>
    <row r="97" spans="1:1" ht="13.8" x14ac:dyDescent="0.25">
      <c r="A97" s="48"/>
    </row>
    <row r="98" spans="1:1" ht="13.8" x14ac:dyDescent="0.25">
      <c r="A98" s="48"/>
    </row>
    <row r="99" spans="1:1" ht="13.8" x14ac:dyDescent="0.25">
      <c r="A99" s="48"/>
    </row>
    <row r="100" spans="1:1" ht="13.8" x14ac:dyDescent="0.25">
      <c r="A100" s="48"/>
    </row>
    <row r="101" spans="1:1" ht="13.8" x14ac:dyDescent="0.25">
      <c r="A101" s="48"/>
    </row>
    <row r="102" spans="1:1" ht="13.8" x14ac:dyDescent="0.25">
      <c r="A102" s="48"/>
    </row>
    <row r="103" spans="1:1" ht="13.8" x14ac:dyDescent="0.25">
      <c r="A103" s="48"/>
    </row>
    <row r="104" spans="1:1" ht="13.8" x14ac:dyDescent="0.25">
      <c r="A104" s="48"/>
    </row>
    <row r="105" spans="1:1" ht="13.8" x14ac:dyDescent="0.25">
      <c r="A105" s="48"/>
    </row>
    <row r="106" spans="1:1" ht="13.8" x14ac:dyDescent="0.25">
      <c r="A106" s="48"/>
    </row>
    <row r="107" spans="1:1" ht="13.8" x14ac:dyDescent="0.25">
      <c r="A107" s="48"/>
    </row>
    <row r="108" spans="1:1" ht="13.8" x14ac:dyDescent="0.25">
      <c r="A108" s="48"/>
    </row>
    <row r="109" spans="1:1" ht="13.8" x14ac:dyDescent="0.25">
      <c r="A109" s="48"/>
    </row>
    <row r="110" spans="1:1" ht="13.8" x14ac:dyDescent="0.25">
      <c r="A110" s="48"/>
    </row>
    <row r="111" spans="1:1" ht="13.8" x14ac:dyDescent="0.25">
      <c r="A111" s="48"/>
    </row>
    <row r="112" spans="1:1" ht="13.8" x14ac:dyDescent="0.25">
      <c r="A112" s="48"/>
    </row>
    <row r="113" spans="1:1" ht="13.8" x14ac:dyDescent="0.25">
      <c r="A113" s="48"/>
    </row>
    <row r="114" spans="1:1" ht="13.8" x14ac:dyDescent="0.25">
      <c r="A114" s="48"/>
    </row>
    <row r="115" spans="1:1" ht="13.8" x14ac:dyDescent="0.25">
      <c r="A115" s="48"/>
    </row>
    <row r="116" spans="1:1" ht="13.8" x14ac:dyDescent="0.25">
      <c r="A116" s="48"/>
    </row>
    <row r="117" spans="1:1" ht="13.8" x14ac:dyDescent="0.25">
      <c r="A117" s="48"/>
    </row>
    <row r="118" spans="1:1" ht="13.8" x14ac:dyDescent="0.25">
      <c r="A118" s="48"/>
    </row>
    <row r="119" spans="1:1" ht="13.8" x14ac:dyDescent="0.25">
      <c r="A119" s="48"/>
    </row>
    <row r="120" spans="1:1" ht="13.8" x14ac:dyDescent="0.25">
      <c r="A120" s="48"/>
    </row>
    <row r="121" spans="1:1" ht="13.8" x14ac:dyDescent="0.25">
      <c r="A121" s="48"/>
    </row>
    <row r="122" spans="1:1" ht="13.8" x14ac:dyDescent="0.25">
      <c r="A122" s="48"/>
    </row>
    <row r="123" spans="1:1" ht="13.8" x14ac:dyDescent="0.25">
      <c r="A123" s="48"/>
    </row>
    <row r="124" spans="1:1" ht="13.8" x14ac:dyDescent="0.25">
      <c r="A124" s="48"/>
    </row>
    <row r="125" spans="1:1" ht="13.8" x14ac:dyDescent="0.25">
      <c r="A125" s="48"/>
    </row>
    <row r="126" spans="1:1" ht="13.8" x14ac:dyDescent="0.25">
      <c r="A126" s="48"/>
    </row>
    <row r="127" spans="1:1" ht="13.8" x14ac:dyDescent="0.25">
      <c r="A127" s="48"/>
    </row>
    <row r="128" spans="1:1" ht="13.8" x14ac:dyDescent="0.25">
      <c r="A128" s="48"/>
    </row>
    <row r="129" spans="1:1" ht="13.8" x14ac:dyDescent="0.25">
      <c r="A129" s="48"/>
    </row>
    <row r="130" spans="1:1" ht="13.8" x14ac:dyDescent="0.25">
      <c r="A130" s="48"/>
    </row>
    <row r="131" spans="1:1" ht="13.8" x14ac:dyDescent="0.25">
      <c r="A131" s="48"/>
    </row>
    <row r="132" spans="1:1" ht="13.8" x14ac:dyDescent="0.25">
      <c r="A132" s="48"/>
    </row>
    <row r="133" spans="1:1" ht="13.8" x14ac:dyDescent="0.25">
      <c r="A133" s="48"/>
    </row>
    <row r="134" spans="1:1" ht="13.8" x14ac:dyDescent="0.25">
      <c r="A134" s="48"/>
    </row>
    <row r="135" spans="1:1" ht="13.8" x14ac:dyDescent="0.25">
      <c r="A135" s="48"/>
    </row>
    <row r="136" spans="1:1" ht="13.8" x14ac:dyDescent="0.25">
      <c r="A136" s="48"/>
    </row>
    <row r="137" spans="1:1" ht="13.8" x14ac:dyDescent="0.25">
      <c r="A137" s="48"/>
    </row>
    <row r="138" spans="1:1" ht="13.8" x14ac:dyDescent="0.25">
      <c r="A138" s="48"/>
    </row>
    <row r="139" spans="1:1" ht="13.8" x14ac:dyDescent="0.25">
      <c r="A139" s="48"/>
    </row>
    <row r="140" spans="1:1" ht="13.8" x14ac:dyDescent="0.25">
      <c r="A140" s="48"/>
    </row>
    <row r="141" spans="1:1" ht="13.8" x14ac:dyDescent="0.25">
      <c r="A141" s="48"/>
    </row>
    <row r="142" spans="1:1" ht="13.8" x14ac:dyDescent="0.25">
      <c r="A142" s="48"/>
    </row>
    <row r="143" spans="1:1" ht="13.8" x14ac:dyDescent="0.25">
      <c r="A143" s="48"/>
    </row>
    <row r="144" spans="1:1" ht="13.8" x14ac:dyDescent="0.25">
      <c r="A144" s="48"/>
    </row>
    <row r="145" spans="1:1" ht="13.8" x14ac:dyDescent="0.25">
      <c r="A145" s="48"/>
    </row>
    <row r="146" spans="1:1" ht="13.8" x14ac:dyDescent="0.25">
      <c r="A146" s="48"/>
    </row>
    <row r="147" spans="1:1" ht="13.8" x14ac:dyDescent="0.25">
      <c r="A147" s="48"/>
    </row>
    <row r="148" spans="1:1" ht="13.8" x14ac:dyDescent="0.25">
      <c r="A148" s="48"/>
    </row>
    <row r="149" spans="1:1" ht="13.8" x14ac:dyDescent="0.25">
      <c r="A149" s="48"/>
    </row>
    <row r="150" spans="1:1" ht="13.8" x14ac:dyDescent="0.25">
      <c r="A150" s="48"/>
    </row>
    <row r="151" spans="1:1" ht="13.8" x14ac:dyDescent="0.25">
      <c r="A151" s="48"/>
    </row>
    <row r="152" spans="1:1" ht="13.8" x14ac:dyDescent="0.25">
      <c r="A152" s="48"/>
    </row>
    <row r="153" spans="1:1" ht="13.8" x14ac:dyDescent="0.25">
      <c r="A153" s="48"/>
    </row>
    <row r="154" spans="1:1" ht="13.8" x14ac:dyDescent="0.25">
      <c r="A154" s="48"/>
    </row>
    <row r="155" spans="1:1" ht="13.8" x14ac:dyDescent="0.25">
      <c r="A155" s="48"/>
    </row>
    <row r="156" spans="1:1" ht="13.8" x14ac:dyDescent="0.25">
      <c r="A156" s="48"/>
    </row>
    <row r="157" spans="1:1" ht="13.8" x14ac:dyDescent="0.25">
      <c r="A157" s="48"/>
    </row>
    <row r="158" spans="1:1" ht="13.8" x14ac:dyDescent="0.25">
      <c r="A158" s="48"/>
    </row>
    <row r="159" spans="1:1" ht="13.8" x14ac:dyDescent="0.25">
      <c r="A159" s="48"/>
    </row>
    <row r="160" spans="1:1" ht="13.8" x14ac:dyDescent="0.25">
      <c r="A160" s="48"/>
    </row>
    <row r="161" spans="1:1" ht="13.8" x14ac:dyDescent="0.25">
      <c r="A161" s="48"/>
    </row>
    <row r="162" spans="1:1" ht="13.8" x14ac:dyDescent="0.25">
      <c r="A162" s="48"/>
    </row>
    <row r="163" spans="1:1" ht="13.8" x14ac:dyDescent="0.25">
      <c r="A163" s="48"/>
    </row>
    <row r="164" spans="1:1" ht="13.8" x14ac:dyDescent="0.25">
      <c r="A164" s="48"/>
    </row>
    <row r="165" spans="1:1" ht="13.8" x14ac:dyDescent="0.25">
      <c r="A165" s="48"/>
    </row>
    <row r="166" spans="1:1" ht="13.8" x14ac:dyDescent="0.25">
      <c r="A166" s="48"/>
    </row>
    <row r="167" spans="1:1" ht="13.8" x14ac:dyDescent="0.25">
      <c r="A167" s="48"/>
    </row>
    <row r="168" spans="1:1" ht="13.8" x14ac:dyDescent="0.25">
      <c r="A168" s="48"/>
    </row>
    <row r="169" spans="1:1" ht="13.8" x14ac:dyDescent="0.25">
      <c r="A169" s="48"/>
    </row>
    <row r="170" spans="1:1" ht="13.8" x14ac:dyDescent="0.25">
      <c r="A170" s="48"/>
    </row>
    <row r="171" spans="1:1" ht="13.8" x14ac:dyDescent="0.25">
      <c r="A171" s="48"/>
    </row>
    <row r="172" spans="1:1" ht="13.8" x14ac:dyDescent="0.25">
      <c r="A172" s="48"/>
    </row>
    <row r="173" spans="1:1" ht="13.8" x14ac:dyDescent="0.25">
      <c r="A173" s="48"/>
    </row>
    <row r="174" spans="1:1" ht="13.8" x14ac:dyDescent="0.25">
      <c r="A174" s="48"/>
    </row>
    <row r="175" spans="1:1" ht="13.8" x14ac:dyDescent="0.25">
      <c r="A175" s="48"/>
    </row>
    <row r="176" spans="1:1" ht="13.8" x14ac:dyDescent="0.25">
      <c r="A176" s="48"/>
    </row>
    <row r="177" spans="1:1" ht="13.8" x14ac:dyDescent="0.25">
      <c r="A177" s="48"/>
    </row>
    <row r="178" spans="1:1" ht="13.8" x14ac:dyDescent="0.25">
      <c r="A178" s="48"/>
    </row>
    <row r="179" spans="1:1" ht="13.8" x14ac:dyDescent="0.25">
      <c r="A179" s="48"/>
    </row>
    <row r="180" spans="1:1" ht="13.8" x14ac:dyDescent="0.25">
      <c r="A180" s="48"/>
    </row>
    <row r="181" spans="1:1" ht="13.8" x14ac:dyDescent="0.25">
      <c r="A181" s="48"/>
    </row>
    <row r="182" spans="1:1" ht="13.8" x14ac:dyDescent="0.25">
      <c r="A182" s="48"/>
    </row>
    <row r="183" spans="1:1" ht="13.8" x14ac:dyDescent="0.25">
      <c r="A183" s="48"/>
    </row>
    <row r="184" spans="1:1" ht="13.8" x14ac:dyDescent="0.25">
      <c r="A184" s="48"/>
    </row>
    <row r="185" spans="1:1" ht="13.8" x14ac:dyDescent="0.25">
      <c r="A185" s="48"/>
    </row>
  </sheetData>
  <autoFilter ref="A2:E15" xr:uid="{00000000-0009-0000-0000-000002000000}"/>
  <phoneticPr fontId="27"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03需支持事项"/>
  <dimension ref="A1:H19"/>
  <sheetViews>
    <sheetView workbookViewId="0">
      <pane xSplit="3" ySplit="2" topLeftCell="D3" activePane="bottomRight" state="frozen"/>
      <selection activeCell="B5" sqref="B5:C16"/>
      <selection pane="topRight" activeCell="B5" sqref="B5:C16"/>
      <selection pane="bottomLeft" activeCell="B5" sqref="B5:C16"/>
      <selection pane="bottomRight" activeCell="D32" sqref="D32"/>
    </sheetView>
  </sheetViews>
  <sheetFormatPr defaultColWidth="14.21875" defaultRowHeight="18" customHeight="1" x14ac:dyDescent="0.25"/>
  <cols>
    <col min="1" max="1" width="6.77734375" style="180" customWidth="1"/>
    <col min="2" max="2" width="9.109375" customWidth="1"/>
    <col min="3" max="3" width="12.109375" customWidth="1"/>
    <col min="4" max="4" width="94" bestFit="1" customWidth="1"/>
    <col min="5" max="5" width="13.33203125" customWidth="1"/>
    <col min="6" max="6" width="17.44140625" style="180" customWidth="1"/>
    <col min="7" max="8" width="11.77734375" style="180" customWidth="1"/>
  </cols>
  <sheetData>
    <row r="1" spans="1:8" x14ac:dyDescent="0.25">
      <c r="A1" s="120"/>
      <c r="B1" s="121"/>
      <c r="C1" s="121"/>
      <c r="D1" s="121"/>
      <c r="E1" s="121"/>
      <c r="F1" s="121"/>
      <c r="G1" s="121"/>
      <c r="H1" s="121"/>
    </row>
    <row r="2" spans="1:8" ht="16.8" customHeight="1" x14ac:dyDescent="0.25">
      <c r="A2" s="255" t="s">
        <v>116</v>
      </c>
      <c r="B2" s="255" t="s">
        <v>5</v>
      </c>
      <c r="C2" s="255" t="s">
        <v>117</v>
      </c>
      <c r="D2" s="255" t="s">
        <v>118</v>
      </c>
      <c r="E2" s="255" t="s">
        <v>119</v>
      </c>
      <c r="F2" s="255" t="s">
        <v>120</v>
      </c>
      <c r="G2" s="255" t="s">
        <v>121</v>
      </c>
      <c r="H2" s="255" t="s">
        <v>122</v>
      </c>
    </row>
    <row r="3" spans="1:8" ht="16.8" customHeight="1" x14ac:dyDescent="0.25">
      <c r="A3" s="255">
        <f t="shared" ref="A3:A19" si="0">ROW(A3)-2</f>
        <v>1</v>
      </c>
      <c r="B3" s="255" t="s">
        <v>28</v>
      </c>
      <c r="C3" s="255" t="s">
        <v>123</v>
      </c>
      <c r="D3" s="256" t="s">
        <v>124</v>
      </c>
      <c r="E3" s="257">
        <v>45503</v>
      </c>
      <c r="F3" s="257">
        <v>45503</v>
      </c>
      <c r="G3" s="122" t="str">
        <f>F3-E3&amp;"天"</f>
        <v>0天</v>
      </c>
      <c r="H3" s="258" t="s">
        <v>125</v>
      </c>
    </row>
    <row r="4" spans="1:8" ht="16.8" customHeight="1" x14ac:dyDescent="0.25">
      <c r="A4" s="255">
        <f t="shared" si="0"/>
        <v>2</v>
      </c>
      <c r="B4" s="255" t="s">
        <v>26</v>
      </c>
      <c r="C4" s="255" t="s">
        <v>126</v>
      </c>
      <c r="D4" s="256" t="s">
        <v>127</v>
      </c>
      <c r="E4" s="257">
        <v>45566</v>
      </c>
      <c r="F4" s="257">
        <v>45585</v>
      </c>
      <c r="G4" s="122" t="str">
        <f>F4-E4&amp;"天"</f>
        <v>19天</v>
      </c>
      <c r="H4" s="258" t="s">
        <v>125</v>
      </c>
    </row>
    <row r="5" spans="1:8" ht="16.8" customHeight="1" x14ac:dyDescent="0.25">
      <c r="A5" s="255">
        <f t="shared" si="0"/>
        <v>3</v>
      </c>
      <c r="B5" s="255" t="s">
        <v>26</v>
      </c>
      <c r="C5" s="255" t="s">
        <v>126</v>
      </c>
      <c r="D5" s="256" t="s">
        <v>128</v>
      </c>
      <c r="E5" s="261">
        <v>45503</v>
      </c>
      <c r="F5" s="268" t="s">
        <v>129</v>
      </c>
      <c r="G5" s="122"/>
      <c r="H5" s="122" t="s">
        <v>125</v>
      </c>
    </row>
    <row r="6" spans="1:8" ht="16.8" customHeight="1" x14ac:dyDescent="0.25">
      <c r="A6" s="255">
        <f t="shared" si="0"/>
        <v>4</v>
      </c>
      <c r="B6" s="255" t="s">
        <v>26</v>
      </c>
      <c r="C6" s="255" t="s">
        <v>130</v>
      </c>
      <c r="D6" s="256" t="s">
        <v>131</v>
      </c>
      <c r="E6" s="257">
        <v>45505</v>
      </c>
      <c r="F6" s="257">
        <v>45534</v>
      </c>
      <c r="G6" s="122" t="str">
        <f>F6-E6&amp;"天"</f>
        <v>29天</v>
      </c>
      <c r="H6" s="258" t="s">
        <v>125</v>
      </c>
    </row>
    <row r="7" spans="1:8" ht="16.8" customHeight="1" x14ac:dyDescent="0.25">
      <c r="A7" s="255">
        <f t="shared" si="0"/>
        <v>5</v>
      </c>
      <c r="B7" s="255" t="s">
        <v>30</v>
      </c>
      <c r="C7" s="259" t="s">
        <v>132</v>
      </c>
      <c r="D7" s="260" t="s">
        <v>133</v>
      </c>
      <c r="E7" s="261" t="s">
        <v>134</v>
      </c>
      <c r="F7" s="257" t="s">
        <v>41</v>
      </c>
      <c r="G7" s="122"/>
      <c r="H7" s="122" t="s">
        <v>125</v>
      </c>
    </row>
    <row r="8" spans="1:8" ht="16.8" customHeight="1" x14ac:dyDescent="0.25">
      <c r="A8" s="255">
        <f t="shared" si="0"/>
        <v>6</v>
      </c>
      <c r="B8" s="255" t="s">
        <v>34</v>
      </c>
      <c r="C8" s="255" t="s">
        <v>135</v>
      </c>
      <c r="D8" s="256" t="s">
        <v>136</v>
      </c>
      <c r="E8" s="257">
        <v>45565</v>
      </c>
      <c r="F8" s="257">
        <v>45565</v>
      </c>
      <c r="G8" s="122" t="str">
        <f>F8-E8&amp;"天"</f>
        <v>0天</v>
      </c>
      <c r="H8" s="258" t="s">
        <v>125</v>
      </c>
    </row>
    <row r="9" spans="1:8" ht="16.8" customHeight="1" x14ac:dyDescent="0.25">
      <c r="A9" s="255">
        <f t="shared" si="0"/>
        <v>7</v>
      </c>
      <c r="B9" s="255" t="s">
        <v>34</v>
      </c>
      <c r="C9" s="255" t="s">
        <v>135</v>
      </c>
      <c r="D9" s="256" t="s">
        <v>137</v>
      </c>
      <c r="E9" s="257">
        <v>45535</v>
      </c>
      <c r="F9" s="257">
        <v>45535</v>
      </c>
      <c r="G9" s="122" t="str">
        <f>F9-E9&amp;"天"</f>
        <v>0天</v>
      </c>
      <c r="H9" s="258" t="s">
        <v>125</v>
      </c>
    </row>
    <row r="10" spans="1:8" ht="16.8" customHeight="1" x14ac:dyDescent="0.25">
      <c r="A10" s="255">
        <f t="shared" si="0"/>
        <v>8</v>
      </c>
      <c r="B10" s="255" t="s">
        <v>34</v>
      </c>
      <c r="C10" s="259" t="s">
        <v>132</v>
      </c>
      <c r="D10" s="260" t="s">
        <v>286</v>
      </c>
      <c r="E10" s="261" t="s">
        <v>134</v>
      </c>
      <c r="F10" s="257" t="s">
        <v>41</v>
      </c>
      <c r="G10" s="122"/>
      <c r="H10" s="122" t="s">
        <v>125</v>
      </c>
    </row>
    <row r="11" spans="1:8" ht="16.8" customHeight="1" x14ac:dyDescent="0.25">
      <c r="A11" s="255">
        <f t="shared" si="0"/>
        <v>9</v>
      </c>
      <c r="B11" s="255" t="s">
        <v>25</v>
      </c>
      <c r="C11" s="259" t="s">
        <v>138</v>
      </c>
      <c r="D11" s="260" t="s">
        <v>139</v>
      </c>
      <c r="E11" s="261">
        <v>45503</v>
      </c>
      <c r="F11" s="257" t="s">
        <v>129</v>
      </c>
      <c r="G11" s="122"/>
      <c r="H11" s="122" t="s">
        <v>125</v>
      </c>
    </row>
    <row r="12" spans="1:8" ht="16.8" customHeight="1" x14ac:dyDescent="0.25">
      <c r="A12" s="262">
        <f t="shared" si="0"/>
        <v>10</v>
      </c>
      <c r="B12" s="262" t="s">
        <v>25</v>
      </c>
      <c r="C12" s="262" t="s">
        <v>126</v>
      </c>
      <c r="D12" s="263" t="s">
        <v>140</v>
      </c>
      <c r="E12" s="264">
        <v>45503</v>
      </c>
      <c r="F12" s="264" t="s">
        <v>129</v>
      </c>
      <c r="G12" s="265"/>
      <c r="H12" s="265" t="s">
        <v>125</v>
      </c>
    </row>
    <row r="13" spans="1:8" ht="16.8" customHeight="1" x14ac:dyDescent="0.25">
      <c r="A13" s="255">
        <f t="shared" si="0"/>
        <v>11</v>
      </c>
      <c r="B13" s="255" t="s">
        <v>25</v>
      </c>
      <c r="C13" s="255" t="s">
        <v>126</v>
      </c>
      <c r="D13" s="256" t="s">
        <v>141</v>
      </c>
      <c r="E13" s="261">
        <v>45503</v>
      </c>
      <c r="F13" s="257" t="s">
        <v>142</v>
      </c>
      <c r="G13" s="122"/>
      <c r="H13" s="122" t="s">
        <v>125</v>
      </c>
    </row>
    <row r="14" spans="1:8" ht="16.8" customHeight="1" x14ac:dyDescent="0.25">
      <c r="A14" s="262">
        <f t="shared" si="0"/>
        <v>12</v>
      </c>
      <c r="B14" s="262" t="s">
        <v>25</v>
      </c>
      <c r="C14" s="262" t="s">
        <v>126</v>
      </c>
      <c r="D14" s="263" t="s">
        <v>143</v>
      </c>
      <c r="E14" s="264">
        <v>45503</v>
      </c>
      <c r="F14" s="264" t="s">
        <v>144</v>
      </c>
      <c r="G14" s="265"/>
      <c r="H14" s="265" t="s">
        <v>125</v>
      </c>
    </row>
    <row r="15" spans="1:8" ht="16.8" customHeight="1" x14ac:dyDescent="0.25">
      <c r="A15" s="262">
        <f t="shared" si="0"/>
        <v>13</v>
      </c>
      <c r="B15" s="262" t="s">
        <v>25</v>
      </c>
      <c r="C15" s="262" t="s">
        <v>130</v>
      </c>
      <c r="D15" s="263" t="s">
        <v>290</v>
      </c>
      <c r="E15" s="264">
        <v>45503</v>
      </c>
      <c r="F15" s="264" t="s">
        <v>144</v>
      </c>
      <c r="G15" s="265"/>
      <c r="H15" s="265" t="s">
        <v>125</v>
      </c>
    </row>
    <row r="16" spans="1:8" ht="16.8" customHeight="1" x14ac:dyDescent="0.25">
      <c r="A16" s="255">
        <f t="shared" si="0"/>
        <v>14</v>
      </c>
      <c r="B16" s="255" t="s">
        <v>36</v>
      </c>
      <c r="C16" s="255" t="s">
        <v>135</v>
      </c>
      <c r="D16" s="256" t="s">
        <v>145</v>
      </c>
      <c r="E16" s="257">
        <v>45503</v>
      </c>
      <c r="F16" s="257" t="s">
        <v>144</v>
      </c>
      <c r="G16" s="122"/>
      <c r="H16" s="122" t="s">
        <v>125</v>
      </c>
    </row>
    <row r="17" spans="1:8" ht="16.8" customHeight="1" x14ac:dyDescent="0.25">
      <c r="A17" s="255">
        <f t="shared" si="0"/>
        <v>15</v>
      </c>
      <c r="B17" s="255" t="s">
        <v>32</v>
      </c>
      <c r="C17" s="259" t="s">
        <v>126</v>
      </c>
      <c r="D17" s="260" t="s">
        <v>146</v>
      </c>
      <c r="E17" s="261">
        <v>45503</v>
      </c>
      <c r="F17" s="257">
        <v>45529</v>
      </c>
      <c r="G17" s="122" t="str">
        <f>F17-E17&amp;"天"</f>
        <v>26天</v>
      </c>
      <c r="H17" s="122" t="s">
        <v>125</v>
      </c>
    </row>
    <row r="18" spans="1:8" ht="16.8" customHeight="1" x14ac:dyDescent="0.25">
      <c r="A18" s="262">
        <f t="shared" si="0"/>
        <v>16</v>
      </c>
      <c r="B18" s="262" t="s">
        <v>32</v>
      </c>
      <c r="C18" s="266" t="s">
        <v>135</v>
      </c>
      <c r="D18" s="263" t="s">
        <v>147</v>
      </c>
      <c r="E18" s="267">
        <v>45493</v>
      </c>
      <c r="F18" s="267">
        <v>45498</v>
      </c>
      <c r="G18" s="265" t="str">
        <f>F18-E18&amp;"天"</f>
        <v>5天</v>
      </c>
      <c r="H18" s="265" t="s">
        <v>125</v>
      </c>
    </row>
    <row r="19" spans="1:8" ht="16.8" customHeight="1" x14ac:dyDescent="0.25">
      <c r="A19" s="262">
        <f t="shared" si="0"/>
        <v>17</v>
      </c>
      <c r="B19" s="262" t="s">
        <v>287</v>
      </c>
      <c r="C19" s="266" t="s">
        <v>288</v>
      </c>
      <c r="D19" s="263" t="s">
        <v>289</v>
      </c>
      <c r="E19" s="267">
        <v>45503</v>
      </c>
      <c r="F19" s="267" t="s">
        <v>294</v>
      </c>
      <c r="G19" s="265"/>
      <c r="H19" s="265" t="s">
        <v>125</v>
      </c>
    </row>
  </sheetData>
  <phoneticPr fontId="27"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04-紧急付款"/>
  <dimension ref="A1:H235"/>
  <sheetViews>
    <sheetView workbookViewId="0">
      <pane ySplit="2" topLeftCell="A3" activePane="bottomLeft" state="frozen"/>
      <selection activeCell="B5" sqref="B5:C16"/>
      <selection pane="bottomLeft" activeCell="B5" sqref="B5:C16"/>
    </sheetView>
  </sheetViews>
  <sheetFormatPr defaultColWidth="14.21875" defaultRowHeight="18" customHeight="1" x14ac:dyDescent="0.25"/>
  <cols>
    <col min="1" max="1" width="13.109375" customWidth="1"/>
    <col min="2" max="2" width="15.33203125" customWidth="1"/>
    <col min="3" max="3" width="40.33203125" customWidth="1"/>
    <col min="4" max="4" width="12.6640625" customWidth="1"/>
    <col min="5" max="5" width="35.44140625" customWidth="1"/>
    <col min="6" max="6" width="13.6640625" customWidth="1"/>
    <col min="7" max="7" width="8.44140625" customWidth="1"/>
    <col min="8" max="8" width="27.109375" bestFit="1" customWidth="1"/>
  </cols>
  <sheetData>
    <row r="1" spans="1:8" ht="17.399999999999999" x14ac:dyDescent="0.25">
      <c r="A1" s="123"/>
      <c r="B1" s="124"/>
      <c r="C1" s="124"/>
      <c r="D1" s="124"/>
      <c r="E1" s="124"/>
      <c r="F1" s="124"/>
      <c r="G1" s="124"/>
      <c r="H1" s="124"/>
    </row>
    <row r="2" spans="1:8" ht="13.8" x14ac:dyDescent="0.25">
      <c r="A2" s="125" t="s">
        <v>148</v>
      </c>
      <c r="B2" s="125" t="s">
        <v>149</v>
      </c>
      <c r="C2" s="125" t="s">
        <v>150</v>
      </c>
      <c r="D2" s="125" t="s">
        <v>151</v>
      </c>
      <c r="E2" s="125" t="s">
        <v>152</v>
      </c>
      <c r="F2" s="125" t="s">
        <v>153</v>
      </c>
      <c r="G2" s="125" t="s">
        <v>154</v>
      </c>
      <c r="H2" s="125" t="s">
        <v>155</v>
      </c>
    </row>
    <row r="3" spans="1:8" ht="13.8" x14ac:dyDescent="0.25">
      <c r="A3" s="126" t="s">
        <v>28</v>
      </c>
      <c r="B3" s="127" t="s">
        <v>156</v>
      </c>
      <c r="C3" s="126" t="s">
        <v>157</v>
      </c>
      <c r="D3" s="128">
        <v>64</v>
      </c>
      <c r="E3" s="126" t="s">
        <v>158</v>
      </c>
      <c r="F3" s="126" t="s">
        <v>159</v>
      </c>
      <c r="G3" s="126" t="s">
        <v>125</v>
      </c>
      <c r="H3" s="126"/>
    </row>
    <row r="4" spans="1:8" ht="13.8" x14ac:dyDescent="0.25">
      <c r="A4" s="129" t="s">
        <v>28</v>
      </c>
      <c r="B4" s="130" t="s">
        <v>160</v>
      </c>
      <c r="C4" s="129" t="s">
        <v>161</v>
      </c>
      <c r="D4" s="131">
        <v>78.599999999999994</v>
      </c>
      <c r="E4" s="129" t="s">
        <v>162</v>
      </c>
      <c r="F4" s="129" t="s">
        <v>159</v>
      </c>
      <c r="G4" s="129" t="s">
        <v>125</v>
      </c>
      <c r="H4" s="132"/>
    </row>
    <row r="5" spans="1:8" ht="13.8" x14ac:dyDescent="0.25">
      <c r="A5" s="129" t="s">
        <v>28</v>
      </c>
      <c r="B5" s="130" t="s">
        <v>160</v>
      </c>
      <c r="C5" s="129" t="s">
        <v>163</v>
      </c>
      <c r="D5" s="131">
        <v>68</v>
      </c>
      <c r="E5" s="129" t="s">
        <v>162</v>
      </c>
      <c r="F5" s="129" t="s">
        <v>159</v>
      </c>
      <c r="G5" s="129" t="s">
        <v>125</v>
      </c>
      <c r="H5" s="133"/>
    </row>
    <row r="6" spans="1:8" ht="13.8" x14ac:dyDescent="0.25">
      <c r="A6" s="129" t="s">
        <v>28</v>
      </c>
      <c r="B6" s="130" t="s">
        <v>160</v>
      </c>
      <c r="C6" s="129" t="s">
        <v>164</v>
      </c>
      <c r="D6" s="131">
        <v>58.7</v>
      </c>
      <c r="E6" s="129" t="s">
        <v>165</v>
      </c>
      <c r="F6" s="129" t="s">
        <v>159</v>
      </c>
      <c r="G6" s="129" t="s">
        <v>125</v>
      </c>
      <c r="H6" s="129"/>
    </row>
    <row r="7" spans="1:8" ht="13.8" x14ac:dyDescent="0.25">
      <c r="A7" s="129" t="s">
        <v>31</v>
      </c>
      <c r="B7" s="130" t="s">
        <v>160</v>
      </c>
      <c r="C7" s="129" t="s">
        <v>166</v>
      </c>
      <c r="D7" s="129">
        <v>20</v>
      </c>
      <c r="E7" s="129" t="s">
        <v>167</v>
      </c>
      <c r="F7" s="129" t="s">
        <v>159</v>
      </c>
      <c r="G7" s="129" t="s">
        <v>125</v>
      </c>
      <c r="H7" s="129"/>
    </row>
    <row r="8" spans="1:8" ht="13.8" x14ac:dyDescent="0.25">
      <c r="A8" s="129" t="s">
        <v>26</v>
      </c>
      <c r="B8" s="130" t="s">
        <v>123</v>
      </c>
      <c r="C8" s="129" t="s">
        <v>168</v>
      </c>
      <c r="D8" s="131">
        <v>21.3</v>
      </c>
      <c r="E8" s="129" t="s">
        <v>169</v>
      </c>
      <c r="F8" s="129" t="s">
        <v>159</v>
      </c>
      <c r="G8" s="129" t="s">
        <v>125</v>
      </c>
      <c r="H8" s="129"/>
    </row>
    <row r="9" spans="1:8" ht="13.8" x14ac:dyDescent="0.25">
      <c r="A9" s="250" t="s">
        <v>26</v>
      </c>
      <c r="B9" s="251" t="s">
        <v>123</v>
      </c>
      <c r="C9" s="252" t="s">
        <v>292</v>
      </c>
      <c r="D9" s="253">
        <v>17.997</v>
      </c>
      <c r="E9" s="254" t="s">
        <v>291</v>
      </c>
      <c r="F9" s="252" t="s">
        <v>159</v>
      </c>
      <c r="G9" s="252" t="s">
        <v>125</v>
      </c>
      <c r="H9" s="159"/>
    </row>
    <row r="10" spans="1:8" ht="17.25" customHeight="1" x14ac:dyDescent="0.25">
      <c r="A10" s="129" t="s">
        <v>170</v>
      </c>
      <c r="B10" s="130" t="s">
        <v>156</v>
      </c>
      <c r="C10" s="129" t="s">
        <v>171</v>
      </c>
      <c r="D10" s="134">
        <v>16.616599999999998</v>
      </c>
      <c r="E10" s="129" t="s">
        <v>172</v>
      </c>
      <c r="F10" s="129" t="s">
        <v>159</v>
      </c>
      <c r="G10" s="129" t="s">
        <v>125</v>
      </c>
      <c r="H10" s="129"/>
    </row>
    <row r="11" spans="1:8" ht="13.8" x14ac:dyDescent="0.25">
      <c r="A11" s="129" t="s">
        <v>30</v>
      </c>
      <c r="B11" s="130" t="s">
        <v>160</v>
      </c>
      <c r="C11" s="129" t="s">
        <v>173</v>
      </c>
      <c r="D11" s="131">
        <v>21.6</v>
      </c>
      <c r="E11" s="129" t="s">
        <v>165</v>
      </c>
      <c r="F11" s="129" t="s">
        <v>159</v>
      </c>
      <c r="G11" s="129" t="s">
        <v>125</v>
      </c>
      <c r="H11" s="129"/>
    </row>
    <row r="12" spans="1:8" ht="13.8" x14ac:dyDescent="0.25">
      <c r="A12" s="129" t="s">
        <v>30</v>
      </c>
      <c r="B12" s="130" t="s">
        <v>160</v>
      </c>
      <c r="C12" s="129" t="s">
        <v>174</v>
      </c>
      <c r="D12" s="131">
        <v>20.399999999999999</v>
      </c>
      <c r="E12" s="129" t="s">
        <v>162</v>
      </c>
      <c r="F12" s="129" t="s">
        <v>159</v>
      </c>
      <c r="G12" s="129" t="s">
        <v>125</v>
      </c>
      <c r="H12" s="129"/>
    </row>
    <row r="13" spans="1:8" ht="13.8" x14ac:dyDescent="0.25">
      <c r="A13" s="129" t="s">
        <v>30</v>
      </c>
      <c r="B13" s="130" t="s">
        <v>160</v>
      </c>
      <c r="C13" s="129" t="s">
        <v>175</v>
      </c>
      <c r="D13" s="131">
        <v>5.2</v>
      </c>
      <c r="E13" s="129" t="s">
        <v>162</v>
      </c>
      <c r="F13" s="129" t="s">
        <v>159</v>
      </c>
      <c r="G13" s="129" t="s">
        <v>125</v>
      </c>
      <c r="H13" s="129"/>
    </row>
    <row r="14" spans="1:8" ht="13.8" x14ac:dyDescent="0.25">
      <c r="A14" s="129" t="s">
        <v>45</v>
      </c>
      <c r="B14" s="135" t="s">
        <v>160</v>
      </c>
      <c r="C14" s="136" t="s">
        <v>176</v>
      </c>
      <c r="D14" s="136">
        <v>21.06</v>
      </c>
      <c r="E14" s="136" t="s">
        <v>162</v>
      </c>
      <c r="F14" s="129" t="s">
        <v>159</v>
      </c>
      <c r="G14" s="129" t="s">
        <v>125</v>
      </c>
      <c r="H14" s="136"/>
    </row>
    <row r="15" spans="1:8" ht="13.8" x14ac:dyDescent="0.25">
      <c r="A15" s="129" t="s">
        <v>34</v>
      </c>
      <c r="B15" s="137" t="s">
        <v>177</v>
      </c>
      <c r="C15" s="138" t="s">
        <v>178</v>
      </c>
      <c r="D15" s="138">
        <v>3.05</v>
      </c>
      <c r="E15" s="138" t="s">
        <v>179</v>
      </c>
      <c r="F15" s="138" t="s">
        <v>159</v>
      </c>
      <c r="G15" s="138" t="s">
        <v>125</v>
      </c>
      <c r="H15" s="136"/>
    </row>
    <row r="16" spans="1:8" ht="13.8" x14ac:dyDescent="0.25">
      <c r="A16" s="139" t="s">
        <v>34</v>
      </c>
      <c r="B16" s="140" t="s">
        <v>123</v>
      </c>
      <c r="C16" s="141" t="s">
        <v>180</v>
      </c>
      <c r="D16" s="142">
        <v>0.9</v>
      </c>
      <c r="E16" s="141" t="s">
        <v>179</v>
      </c>
      <c r="F16" s="141" t="s">
        <v>159</v>
      </c>
      <c r="G16" s="141" t="s">
        <v>125</v>
      </c>
      <c r="H16" s="136"/>
    </row>
    <row r="17" spans="1:8" ht="13.8" x14ac:dyDescent="0.25">
      <c r="A17" s="143" t="s">
        <v>34</v>
      </c>
      <c r="B17" s="144" t="s">
        <v>177</v>
      </c>
      <c r="C17" s="145" t="s">
        <v>181</v>
      </c>
      <c r="D17" s="146">
        <v>2.14</v>
      </c>
      <c r="E17" s="145" t="s">
        <v>179</v>
      </c>
      <c r="F17" s="145" t="s">
        <v>159</v>
      </c>
      <c r="G17" s="145" t="s">
        <v>125</v>
      </c>
      <c r="H17" s="129"/>
    </row>
    <row r="18" spans="1:8" ht="13.8" x14ac:dyDescent="0.25">
      <c r="A18" s="143" t="s">
        <v>34</v>
      </c>
      <c r="B18" s="147" t="s">
        <v>123</v>
      </c>
      <c r="C18" s="145" t="s">
        <v>182</v>
      </c>
      <c r="D18" s="146">
        <v>1.28</v>
      </c>
      <c r="E18" s="145" t="s">
        <v>179</v>
      </c>
      <c r="F18" s="145" t="s">
        <v>159</v>
      </c>
      <c r="G18" s="145" t="s">
        <v>125</v>
      </c>
      <c r="H18" s="129"/>
    </row>
    <row r="19" spans="1:8" ht="13.8" x14ac:dyDescent="0.25">
      <c r="A19" s="143" t="s">
        <v>34</v>
      </c>
      <c r="B19" s="144" t="s">
        <v>177</v>
      </c>
      <c r="C19" s="145" t="s">
        <v>183</v>
      </c>
      <c r="D19" s="146">
        <v>2.02</v>
      </c>
      <c r="E19" s="145" t="s">
        <v>179</v>
      </c>
      <c r="F19" s="145" t="s">
        <v>159</v>
      </c>
      <c r="G19" s="145" t="s">
        <v>125</v>
      </c>
      <c r="H19" s="129"/>
    </row>
    <row r="20" spans="1:8" ht="13.8" x14ac:dyDescent="0.25">
      <c r="A20" s="139" t="s">
        <v>34</v>
      </c>
      <c r="B20" s="137" t="s">
        <v>177</v>
      </c>
      <c r="C20" s="141" t="s">
        <v>184</v>
      </c>
      <c r="D20" s="148">
        <v>1.44</v>
      </c>
      <c r="E20" s="141" t="s">
        <v>179</v>
      </c>
      <c r="F20" s="141" t="s">
        <v>159</v>
      </c>
      <c r="G20" s="141" t="s">
        <v>125</v>
      </c>
      <c r="H20" s="129"/>
    </row>
    <row r="21" spans="1:8" ht="13.8" x14ac:dyDescent="0.25">
      <c r="A21" s="129" t="s">
        <v>34</v>
      </c>
      <c r="B21" s="130" t="s">
        <v>160</v>
      </c>
      <c r="C21" s="129" t="s">
        <v>185</v>
      </c>
      <c r="D21" s="131">
        <v>29</v>
      </c>
      <c r="E21" s="129" t="s">
        <v>162</v>
      </c>
      <c r="F21" s="129" t="s">
        <v>159</v>
      </c>
      <c r="G21" s="129" t="s">
        <v>125</v>
      </c>
      <c r="H21" s="129"/>
    </row>
    <row r="22" spans="1:8" ht="13.8" x14ac:dyDescent="0.25">
      <c r="A22" s="129" t="s">
        <v>34</v>
      </c>
      <c r="B22" s="135" t="s">
        <v>123</v>
      </c>
      <c r="C22" s="129" t="s">
        <v>186</v>
      </c>
      <c r="D22" s="131">
        <v>4.8899999999999997</v>
      </c>
      <c r="E22" s="136" t="s">
        <v>187</v>
      </c>
      <c r="F22" s="129" t="s">
        <v>159</v>
      </c>
      <c r="G22" s="129" t="s">
        <v>125</v>
      </c>
      <c r="H22" s="129"/>
    </row>
    <row r="23" spans="1:8" ht="13.8" x14ac:dyDescent="0.25">
      <c r="A23" s="129" t="s">
        <v>25</v>
      </c>
      <c r="B23" s="130" t="s">
        <v>160</v>
      </c>
      <c r="C23" s="129" t="s">
        <v>188</v>
      </c>
      <c r="D23" s="136">
        <v>23</v>
      </c>
      <c r="E23" s="129" t="s">
        <v>162</v>
      </c>
      <c r="F23" s="129" t="s">
        <v>159</v>
      </c>
      <c r="G23" s="129" t="s">
        <v>125</v>
      </c>
      <c r="H23" s="129"/>
    </row>
    <row r="24" spans="1:8" ht="13.8" x14ac:dyDescent="0.25">
      <c r="A24" s="129" t="s">
        <v>25</v>
      </c>
      <c r="B24" s="130" t="s">
        <v>160</v>
      </c>
      <c r="C24" s="129" t="s">
        <v>188</v>
      </c>
      <c r="D24" s="136">
        <v>29.8</v>
      </c>
      <c r="E24" s="129" t="s">
        <v>162</v>
      </c>
      <c r="F24" s="129" t="s">
        <v>159</v>
      </c>
      <c r="G24" s="129" t="s">
        <v>125</v>
      </c>
      <c r="H24" s="129"/>
    </row>
    <row r="25" spans="1:8" ht="13.8" x14ac:dyDescent="0.25">
      <c r="A25" s="129" t="s">
        <v>25</v>
      </c>
      <c r="B25" s="130" t="s">
        <v>160</v>
      </c>
      <c r="C25" s="129" t="s">
        <v>188</v>
      </c>
      <c r="D25" s="136">
        <v>123.4</v>
      </c>
      <c r="E25" s="129" t="s">
        <v>165</v>
      </c>
      <c r="F25" s="132" t="s">
        <v>159</v>
      </c>
      <c r="G25" s="129" t="s">
        <v>125</v>
      </c>
      <c r="H25" s="129" t="s">
        <v>189</v>
      </c>
    </row>
    <row r="26" spans="1:8" ht="13.8" x14ac:dyDescent="0.25">
      <c r="A26" s="129" t="s">
        <v>25</v>
      </c>
      <c r="B26" s="130" t="s">
        <v>190</v>
      </c>
      <c r="C26" s="129" t="s">
        <v>191</v>
      </c>
      <c r="D26" s="136">
        <v>41.24</v>
      </c>
      <c r="E26" s="129" t="s">
        <v>192</v>
      </c>
      <c r="F26" s="149" t="s">
        <v>193</v>
      </c>
      <c r="G26" s="129" t="s">
        <v>125</v>
      </c>
      <c r="H26" s="129"/>
    </row>
    <row r="27" spans="1:8" ht="13.8" x14ac:dyDescent="0.25">
      <c r="A27" s="150" t="s">
        <v>25</v>
      </c>
      <c r="B27" s="135" t="s">
        <v>123</v>
      </c>
      <c r="C27" s="150" t="s">
        <v>194</v>
      </c>
      <c r="D27" s="151">
        <v>77.2</v>
      </c>
      <c r="E27" s="150" t="s">
        <v>195</v>
      </c>
      <c r="F27" s="132" t="s">
        <v>159</v>
      </c>
      <c r="G27" s="150" t="s">
        <v>125</v>
      </c>
      <c r="H27" s="150"/>
    </row>
    <row r="28" spans="1:8" ht="14.4" x14ac:dyDescent="0.25">
      <c r="A28" s="122" t="s">
        <v>25</v>
      </c>
      <c r="B28" s="135" t="s">
        <v>123</v>
      </c>
      <c r="C28" s="152" t="s">
        <v>196</v>
      </c>
      <c r="D28" s="152">
        <v>29.4</v>
      </c>
      <c r="E28" s="152" t="s">
        <v>197</v>
      </c>
      <c r="F28" s="152" t="s">
        <v>159</v>
      </c>
      <c r="G28" s="152" t="s">
        <v>125</v>
      </c>
      <c r="H28" s="153"/>
    </row>
    <row r="29" spans="1:8" ht="14.4" x14ac:dyDescent="0.25">
      <c r="A29" s="122" t="s">
        <v>25</v>
      </c>
      <c r="B29" s="135" t="s">
        <v>123</v>
      </c>
      <c r="C29" s="152" t="s">
        <v>198</v>
      </c>
      <c r="D29" s="152">
        <v>8</v>
      </c>
      <c r="E29" s="152" t="s">
        <v>199</v>
      </c>
      <c r="F29" s="152" t="s">
        <v>159</v>
      </c>
      <c r="G29" s="152" t="s">
        <v>125</v>
      </c>
      <c r="H29" s="153"/>
    </row>
    <row r="30" spans="1:8" ht="14.4" x14ac:dyDescent="0.25">
      <c r="A30" s="122" t="s">
        <v>25</v>
      </c>
      <c r="B30" s="135" t="s">
        <v>123</v>
      </c>
      <c r="C30" s="152" t="s">
        <v>200</v>
      </c>
      <c r="D30" s="152">
        <v>3</v>
      </c>
      <c r="E30" s="152" t="s">
        <v>201</v>
      </c>
      <c r="F30" s="152" t="s">
        <v>159</v>
      </c>
      <c r="G30" s="152" t="s">
        <v>125</v>
      </c>
      <c r="H30" s="122"/>
    </row>
    <row r="31" spans="1:8" ht="13.8" x14ac:dyDescent="0.25">
      <c r="A31" s="143" t="s">
        <v>25</v>
      </c>
      <c r="B31" s="130" t="s">
        <v>156</v>
      </c>
      <c r="C31" s="143" t="s">
        <v>202</v>
      </c>
      <c r="D31" s="154">
        <v>19.899999999999999</v>
      </c>
      <c r="E31" s="143" t="s">
        <v>158</v>
      </c>
      <c r="F31" s="143" t="s">
        <v>159</v>
      </c>
      <c r="G31" s="154" t="s">
        <v>125</v>
      </c>
      <c r="H31" s="143"/>
    </row>
    <row r="32" spans="1:8" ht="13.8" x14ac:dyDescent="0.25">
      <c r="A32" s="129" t="s">
        <v>25</v>
      </c>
      <c r="B32" s="135" t="s">
        <v>123</v>
      </c>
      <c r="C32" s="136" t="s">
        <v>203</v>
      </c>
      <c r="D32" s="136">
        <v>38.5</v>
      </c>
      <c r="E32" s="129" t="s">
        <v>204</v>
      </c>
      <c r="F32" s="129" t="s">
        <v>159</v>
      </c>
      <c r="G32" s="129" t="s">
        <v>125</v>
      </c>
      <c r="H32" s="136"/>
    </row>
    <row r="33" spans="1:8" ht="14.4" x14ac:dyDescent="0.25">
      <c r="A33" s="129" t="s">
        <v>36</v>
      </c>
      <c r="B33" s="135" t="s">
        <v>160</v>
      </c>
      <c r="C33" s="129" t="s">
        <v>205</v>
      </c>
      <c r="D33" s="136">
        <v>15</v>
      </c>
      <c r="E33" s="129" t="s">
        <v>165</v>
      </c>
      <c r="F33" s="129" t="s">
        <v>159</v>
      </c>
      <c r="G33" s="152" t="s">
        <v>125</v>
      </c>
      <c r="H33" s="122"/>
    </row>
    <row r="34" spans="1:8" ht="13.8" x14ac:dyDescent="0.25">
      <c r="A34" s="129" t="s">
        <v>36</v>
      </c>
      <c r="B34" s="135" t="s">
        <v>123</v>
      </c>
      <c r="C34" s="129" t="s">
        <v>206</v>
      </c>
      <c r="D34" s="136">
        <v>10.5</v>
      </c>
      <c r="E34" s="136" t="s">
        <v>187</v>
      </c>
      <c r="F34" s="129" t="s">
        <v>159</v>
      </c>
      <c r="G34" s="129" t="s">
        <v>125</v>
      </c>
      <c r="H34" s="129"/>
    </row>
    <row r="35" spans="1:8" ht="13.8" x14ac:dyDescent="0.25">
      <c r="A35" s="129" t="s">
        <v>36</v>
      </c>
      <c r="B35" s="130" t="s">
        <v>190</v>
      </c>
      <c r="C35" s="129" t="s">
        <v>207</v>
      </c>
      <c r="D35" s="136">
        <v>11.6</v>
      </c>
      <c r="E35" s="129" t="s">
        <v>192</v>
      </c>
      <c r="F35" s="129" t="s">
        <v>159</v>
      </c>
      <c r="G35" s="129" t="s">
        <v>125</v>
      </c>
      <c r="H35" s="129"/>
    </row>
    <row r="36" spans="1:8" ht="13.8" x14ac:dyDescent="0.25">
      <c r="A36" s="129" t="s">
        <v>36</v>
      </c>
      <c r="B36" s="135" t="s">
        <v>123</v>
      </c>
      <c r="C36" s="129" t="s">
        <v>208</v>
      </c>
      <c r="D36" s="131">
        <v>2.4</v>
      </c>
      <c r="E36" s="136" t="s">
        <v>187</v>
      </c>
      <c r="F36" s="129" t="s">
        <v>159</v>
      </c>
      <c r="G36" s="129" t="s">
        <v>125</v>
      </c>
      <c r="H36" s="129"/>
    </row>
    <row r="37" spans="1:8" ht="13.8" x14ac:dyDescent="0.25">
      <c r="A37" s="129" t="s">
        <v>36</v>
      </c>
      <c r="B37" s="135" t="s">
        <v>123</v>
      </c>
      <c r="C37" s="129" t="s">
        <v>209</v>
      </c>
      <c r="D37" s="131">
        <v>3.9</v>
      </c>
      <c r="E37" s="136" t="s">
        <v>187</v>
      </c>
      <c r="F37" s="129" t="s">
        <v>159</v>
      </c>
      <c r="G37" s="129" t="s">
        <v>125</v>
      </c>
      <c r="H37" s="129"/>
    </row>
    <row r="38" spans="1:8" ht="13.8" x14ac:dyDescent="0.25">
      <c r="A38" s="129" t="s">
        <v>36</v>
      </c>
      <c r="B38" s="135" t="s">
        <v>123</v>
      </c>
      <c r="C38" s="129" t="s">
        <v>210</v>
      </c>
      <c r="D38" s="131">
        <v>18</v>
      </c>
      <c r="E38" s="129" t="s">
        <v>211</v>
      </c>
      <c r="F38" s="129" t="s">
        <v>159</v>
      </c>
      <c r="G38" s="129" t="s">
        <v>125</v>
      </c>
      <c r="H38" s="129"/>
    </row>
    <row r="39" spans="1:8" ht="13.8" x14ac:dyDescent="0.25">
      <c r="A39" s="129" t="s">
        <v>36</v>
      </c>
      <c r="B39" s="135" t="s">
        <v>123</v>
      </c>
      <c r="C39" s="129" t="s">
        <v>212</v>
      </c>
      <c r="D39" s="131">
        <v>8.8134999999999994</v>
      </c>
      <c r="E39" s="129" t="s">
        <v>213</v>
      </c>
      <c r="F39" s="129" t="s">
        <v>159</v>
      </c>
      <c r="G39" s="129" t="s">
        <v>125</v>
      </c>
      <c r="H39" s="138"/>
    </row>
    <row r="40" spans="1:8" ht="13.8" x14ac:dyDescent="0.25">
      <c r="A40" s="129" t="s">
        <v>32</v>
      </c>
      <c r="B40" s="130" t="s">
        <v>214</v>
      </c>
      <c r="C40" s="129" t="s">
        <v>295</v>
      </c>
      <c r="D40" s="131">
        <v>152.4</v>
      </c>
      <c r="E40" s="129" t="s">
        <v>192</v>
      </c>
      <c r="F40" s="129" t="s">
        <v>159</v>
      </c>
      <c r="G40" s="129" t="s">
        <v>125</v>
      </c>
      <c r="H40" s="129"/>
    </row>
    <row r="41" spans="1:8" ht="13.8" x14ac:dyDescent="0.25">
      <c r="A41" s="129" t="s">
        <v>32</v>
      </c>
      <c r="B41" s="130" t="s">
        <v>156</v>
      </c>
      <c r="C41" s="129" t="s">
        <v>215</v>
      </c>
      <c r="D41" s="131">
        <v>31.25</v>
      </c>
      <c r="E41" s="155" t="s">
        <v>216</v>
      </c>
      <c r="F41" s="129" t="s">
        <v>159</v>
      </c>
      <c r="G41" s="129" t="s">
        <v>125</v>
      </c>
      <c r="H41" s="129"/>
    </row>
    <row r="42" spans="1:8" ht="13.8" x14ac:dyDescent="0.25">
      <c r="A42" s="129" t="s">
        <v>32</v>
      </c>
      <c r="B42" s="130" t="s">
        <v>160</v>
      </c>
      <c r="C42" s="129" t="s">
        <v>217</v>
      </c>
      <c r="D42" s="131">
        <v>29</v>
      </c>
      <c r="E42" s="129" t="s">
        <v>218</v>
      </c>
      <c r="F42" s="129" t="s">
        <v>159</v>
      </c>
      <c r="G42" s="129" t="s">
        <v>125</v>
      </c>
      <c r="H42" s="129"/>
    </row>
    <row r="43" spans="1:8" ht="13.8" x14ac:dyDescent="0.25">
      <c r="A43" s="129" t="s">
        <v>32</v>
      </c>
      <c r="B43" s="130" t="s">
        <v>160</v>
      </c>
      <c r="C43" s="129" t="s">
        <v>219</v>
      </c>
      <c r="D43" s="131">
        <v>29</v>
      </c>
      <c r="E43" s="129" t="s">
        <v>218</v>
      </c>
      <c r="F43" s="129" t="s">
        <v>159</v>
      </c>
      <c r="G43" s="129" t="s">
        <v>125</v>
      </c>
      <c r="H43" s="129"/>
    </row>
    <row r="44" spans="1:8" ht="13.8" x14ac:dyDescent="0.25">
      <c r="A44" s="129" t="s">
        <v>32</v>
      </c>
      <c r="B44" s="130" t="s">
        <v>160</v>
      </c>
      <c r="C44" s="129" t="s">
        <v>220</v>
      </c>
      <c r="D44" s="131">
        <v>29</v>
      </c>
      <c r="E44" s="129" t="s">
        <v>218</v>
      </c>
      <c r="F44" s="129" t="s">
        <v>159</v>
      </c>
      <c r="G44" s="129" t="s">
        <v>125</v>
      </c>
      <c r="H44" s="129"/>
    </row>
    <row r="45" spans="1:8" ht="13.8" x14ac:dyDescent="0.25">
      <c r="A45" s="129" t="s">
        <v>32</v>
      </c>
      <c r="B45" s="130" t="s">
        <v>160</v>
      </c>
      <c r="C45" s="129" t="s">
        <v>175</v>
      </c>
      <c r="D45" s="131">
        <v>31.6</v>
      </c>
      <c r="E45" s="129" t="s">
        <v>218</v>
      </c>
      <c r="F45" s="129" t="s">
        <v>159</v>
      </c>
      <c r="G45" s="129" t="s">
        <v>125</v>
      </c>
      <c r="H45" s="129"/>
    </row>
    <row r="46" spans="1:8" ht="13.8" x14ac:dyDescent="0.25">
      <c r="A46" s="129" t="s">
        <v>32</v>
      </c>
      <c r="B46" s="130" t="s">
        <v>160</v>
      </c>
      <c r="C46" s="129" t="s">
        <v>217</v>
      </c>
      <c r="D46" s="131">
        <v>29</v>
      </c>
      <c r="E46" s="129" t="s">
        <v>218</v>
      </c>
      <c r="F46" s="129" t="s">
        <v>159</v>
      </c>
      <c r="G46" s="129" t="s">
        <v>125</v>
      </c>
      <c r="H46" s="129"/>
    </row>
    <row r="47" spans="1:8" ht="13.8" x14ac:dyDescent="0.25">
      <c r="A47" s="129" t="s">
        <v>32</v>
      </c>
      <c r="B47" s="130" t="s">
        <v>160</v>
      </c>
      <c r="C47" s="129" t="s">
        <v>221</v>
      </c>
      <c r="D47" s="131">
        <v>29</v>
      </c>
      <c r="E47" s="129" t="s">
        <v>218</v>
      </c>
      <c r="F47" s="129" t="s">
        <v>159</v>
      </c>
      <c r="G47" s="129" t="s">
        <v>125</v>
      </c>
      <c r="H47" s="129"/>
    </row>
    <row r="48" spans="1:8" ht="13.8" x14ac:dyDescent="0.25">
      <c r="A48" s="129" t="s">
        <v>32</v>
      </c>
      <c r="B48" s="135" t="s">
        <v>160</v>
      </c>
      <c r="C48" s="129" t="s">
        <v>221</v>
      </c>
      <c r="D48" s="131">
        <v>29</v>
      </c>
      <c r="E48" s="129" t="s">
        <v>218</v>
      </c>
      <c r="F48" s="129" t="s">
        <v>159</v>
      </c>
      <c r="G48" s="129" t="s">
        <v>125</v>
      </c>
      <c r="H48" s="129"/>
    </row>
    <row r="49" spans="1:8" ht="13.8" x14ac:dyDescent="0.25">
      <c r="A49" s="129" t="s">
        <v>32</v>
      </c>
      <c r="B49" s="135" t="s">
        <v>123</v>
      </c>
      <c r="C49" s="129" t="s">
        <v>222</v>
      </c>
      <c r="D49" s="131">
        <v>36</v>
      </c>
      <c r="E49" s="129" t="s">
        <v>211</v>
      </c>
      <c r="F49" s="129" t="s">
        <v>159</v>
      </c>
      <c r="G49" s="129" t="s">
        <v>125</v>
      </c>
      <c r="H49" s="129"/>
    </row>
    <row r="50" spans="1:8" ht="13.8" x14ac:dyDescent="0.25">
      <c r="A50" s="129" t="s">
        <v>223</v>
      </c>
      <c r="B50" s="135" t="s">
        <v>123</v>
      </c>
      <c r="C50" s="129" t="s">
        <v>224</v>
      </c>
      <c r="D50" s="131">
        <v>2.5</v>
      </c>
      <c r="E50" s="129" t="s">
        <v>211</v>
      </c>
      <c r="F50" s="129" t="s">
        <v>159</v>
      </c>
      <c r="G50" s="129" t="s">
        <v>125</v>
      </c>
      <c r="H50" s="129"/>
    </row>
    <row r="51" spans="1:8" ht="13.8" x14ac:dyDescent="0.25">
      <c r="A51" s="129" t="s">
        <v>32</v>
      </c>
      <c r="B51" s="135" t="s">
        <v>123</v>
      </c>
      <c r="C51" s="138" t="s">
        <v>225</v>
      </c>
      <c r="D51" s="156">
        <v>3.8384999999999998</v>
      </c>
      <c r="E51" s="138" t="s">
        <v>172</v>
      </c>
      <c r="F51" s="138" t="s">
        <v>159</v>
      </c>
      <c r="G51" s="138" t="s">
        <v>125</v>
      </c>
      <c r="H51" s="138"/>
    </row>
    <row r="52" spans="1:8" ht="13.8" x14ac:dyDescent="0.25">
      <c r="A52" s="139" t="s">
        <v>226</v>
      </c>
      <c r="B52" s="130" t="s">
        <v>156</v>
      </c>
      <c r="C52" s="141" t="s">
        <v>227</v>
      </c>
      <c r="D52" s="157">
        <v>12.496</v>
      </c>
      <c r="E52" s="141" t="s">
        <v>172</v>
      </c>
      <c r="F52" s="141" t="s">
        <v>159</v>
      </c>
      <c r="G52" s="141" t="s">
        <v>125</v>
      </c>
      <c r="H52" s="141"/>
    </row>
    <row r="53" spans="1:8" ht="13.8" x14ac:dyDescent="0.25">
      <c r="A53" s="129" t="s">
        <v>228</v>
      </c>
      <c r="B53" s="130" t="s">
        <v>156</v>
      </c>
      <c r="C53" s="138" t="s">
        <v>229</v>
      </c>
      <c r="D53" s="156">
        <v>5.1970000000000001</v>
      </c>
      <c r="E53" s="138" t="s">
        <v>172</v>
      </c>
      <c r="F53" s="138" t="s">
        <v>159</v>
      </c>
      <c r="G53" s="138" t="s">
        <v>125</v>
      </c>
      <c r="H53" s="138"/>
    </row>
    <row r="54" spans="1:8" ht="13.8" x14ac:dyDescent="0.25">
      <c r="A54" s="139" t="s">
        <v>230</v>
      </c>
      <c r="B54" s="130" t="s">
        <v>156</v>
      </c>
      <c r="C54" s="141" t="s">
        <v>227</v>
      </c>
      <c r="D54" s="157">
        <v>23.838000000000001</v>
      </c>
      <c r="E54" s="141" t="s">
        <v>172</v>
      </c>
      <c r="F54" s="141" t="s">
        <v>159</v>
      </c>
      <c r="G54" s="141" t="s">
        <v>125</v>
      </c>
      <c r="H54" s="138"/>
    </row>
    <row r="55" spans="1:8" ht="13.8" x14ac:dyDescent="0.25">
      <c r="A55" s="139" t="s">
        <v>231</v>
      </c>
      <c r="B55" s="130" t="s">
        <v>156</v>
      </c>
      <c r="C55" s="141" t="s">
        <v>232</v>
      </c>
      <c r="D55" s="157">
        <v>4.0389999999999997</v>
      </c>
      <c r="E55" s="141" t="s">
        <v>172</v>
      </c>
      <c r="F55" s="141" t="s">
        <v>159</v>
      </c>
      <c r="G55" s="141" t="s">
        <v>125</v>
      </c>
      <c r="H55" s="141"/>
    </row>
    <row r="56" spans="1:8" ht="13.8" x14ac:dyDescent="0.25">
      <c r="A56" s="129" t="s">
        <v>230</v>
      </c>
      <c r="B56" s="135" t="s">
        <v>123</v>
      </c>
      <c r="C56" s="138" t="s">
        <v>233</v>
      </c>
      <c r="D56" s="158">
        <v>2</v>
      </c>
      <c r="E56" s="138" t="s">
        <v>179</v>
      </c>
      <c r="F56" s="138" t="s">
        <v>159</v>
      </c>
      <c r="G56" s="138" t="s">
        <v>125</v>
      </c>
      <c r="H56" s="138"/>
    </row>
    <row r="57" spans="1:8" ht="13.8" x14ac:dyDescent="0.25">
      <c r="A57" s="129" t="s">
        <v>267</v>
      </c>
      <c r="B57" s="135" t="s">
        <v>234</v>
      </c>
      <c r="C57" s="159" t="s">
        <v>235</v>
      </c>
      <c r="D57" s="160">
        <v>1.26</v>
      </c>
      <c r="E57" s="159" t="s">
        <v>236</v>
      </c>
      <c r="F57" s="161" t="s">
        <v>159</v>
      </c>
      <c r="G57" s="161" t="s">
        <v>125</v>
      </c>
      <c r="H57" s="159"/>
    </row>
    <row r="58" spans="1:8" ht="13.8" x14ac:dyDescent="0.25">
      <c r="A58" s="129" t="s">
        <v>45</v>
      </c>
      <c r="B58" s="135" t="s">
        <v>234</v>
      </c>
      <c r="C58" s="159" t="s">
        <v>237</v>
      </c>
      <c r="D58" s="160">
        <v>1.32</v>
      </c>
      <c r="E58" s="159" t="s">
        <v>236</v>
      </c>
      <c r="F58" s="161" t="s">
        <v>159</v>
      </c>
      <c r="G58" s="161" t="s">
        <v>125</v>
      </c>
      <c r="H58" s="159"/>
    </row>
    <row r="59" spans="1:8" ht="13.8" x14ac:dyDescent="0.25">
      <c r="A59" s="129" t="s">
        <v>268</v>
      </c>
      <c r="B59" s="135" t="s">
        <v>234</v>
      </c>
      <c r="C59" s="159" t="s">
        <v>238</v>
      </c>
      <c r="D59" s="160">
        <v>9.77</v>
      </c>
      <c r="E59" s="159" t="s">
        <v>236</v>
      </c>
      <c r="F59" s="161" t="s">
        <v>159</v>
      </c>
      <c r="G59" s="161" t="s">
        <v>125</v>
      </c>
      <c r="H59" s="159"/>
    </row>
    <row r="60" spans="1:8" ht="13.8" x14ac:dyDescent="0.25">
      <c r="A60" s="129" t="s">
        <v>34</v>
      </c>
      <c r="B60" s="135" t="s">
        <v>234</v>
      </c>
      <c r="C60" s="159" t="s">
        <v>239</v>
      </c>
      <c r="D60" s="160">
        <v>0.08</v>
      </c>
      <c r="E60" s="159" t="s">
        <v>236</v>
      </c>
      <c r="F60" s="161" t="s">
        <v>159</v>
      </c>
      <c r="G60" s="161" t="s">
        <v>125</v>
      </c>
      <c r="H60" s="159"/>
    </row>
    <row r="61" spans="1:8" ht="13.8" x14ac:dyDescent="0.25">
      <c r="A61" s="129" t="s">
        <v>269</v>
      </c>
      <c r="B61" s="135" t="s">
        <v>234</v>
      </c>
      <c r="C61" s="159" t="s">
        <v>240</v>
      </c>
      <c r="D61" s="160">
        <v>8.7799999999999994</v>
      </c>
      <c r="E61" s="159" t="s">
        <v>236</v>
      </c>
      <c r="F61" s="161" t="s">
        <v>159</v>
      </c>
      <c r="G61" s="161" t="s">
        <v>125</v>
      </c>
      <c r="H61" s="159"/>
    </row>
    <row r="62" spans="1:8" ht="13.8" x14ac:dyDescent="0.25">
      <c r="A62" s="129" t="s">
        <v>270</v>
      </c>
      <c r="B62" s="135" t="s">
        <v>234</v>
      </c>
      <c r="C62" s="159" t="s">
        <v>241</v>
      </c>
      <c r="D62" s="160">
        <v>4.32</v>
      </c>
      <c r="E62" s="159" t="s">
        <v>236</v>
      </c>
      <c r="F62" s="161" t="s">
        <v>159</v>
      </c>
      <c r="G62" s="161" t="s">
        <v>125</v>
      </c>
      <c r="H62" s="159"/>
    </row>
    <row r="63" spans="1:8" ht="13.8" x14ac:dyDescent="0.25">
      <c r="A63" s="129" t="s">
        <v>271</v>
      </c>
      <c r="B63" s="135" t="s">
        <v>234</v>
      </c>
      <c r="C63" s="159" t="s">
        <v>242</v>
      </c>
      <c r="D63" s="160">
        <v>11.88</v>
      </c>
      <c r="E63" s="159" t="s">
        <v>236</v>
      </c>
      <c r="F63" s="161" t="s">
        <v>159</v>
      </c>
      <c r="G63" s="161" t="s">
        <v>125</v>
      </c>
      <c r="H63" s="159"/>
    </row>
    <row r="64" spans="1:8" ht="13.8" x14ac:dyDescent="0.25">
      <c r="A64" s="129" t="s">
        <v>268</v>
      </c>
      <c r="B64" s="135" t="s">
        <v>234</v>
      </c>
      <c r="C64" s="159" t="s">
        <v>243</v>
      </c>
      <c r="D64" s="160">
        <v>6.18</v>
      </c>
      <c r="E64" s="159" t="s">
        <v>236</v>
      </c>
      <c r="F64" s="161" t="s">
        <v>159</v>
      </c>
      <c r="G64" s="161" t="s">
        <v>125</v>
      </c>
      <c r="H64" s="159"/>
    </row>
    <row r="65" spans="1:8" ht="13.8" x14ac:dyDescent="0.25">
      <c r="A65" s="129" t="s">
        <v>34</v>
      </c>
      <c r="B65" s="135" t="s">
        <v>234</v>
      </c>
      <c r="C65" s="159" t="s">
        <v>244</v>
      </c>
      <c r="D65" s="160">
        <v>0.51</v>
      </c>
      <c r="E65" s="159" t="s">
        <v>236</v>
      </c>
      <c r="F65" s="161" t="s">
        <v>159</v>
      </c>
      <c r="G65" s="161" t="s">
        <v>125</v>
      </c>
      <c r="H65" s="159"/>
    </row>
    <row r="66" spans="1:8" ht="13.8" x14ac:dyDescent="0.25">
      <c r="A66" s="129" t="s">
        <v>36</v>
      </c>
      <c r="B66" s="135" t="s">
        <v>234</v>
      </c>
      <c r="C66" s="159" t="s">
        <v>245</v>
      </c>
      <c r="D66" s="160">
        <v>0.5</v>
      </c>
      <c r="E66" s="159" t="s">
        <v>236</v>
      </c>
      <c r="F66" s="161" t="s">
        <v>159</v>
      </c>
      <c r="G66" s="161" t="s">
        <v>125</v>
      </c>
      <c r="H66" s="159"/>
    </row>
    <row r="67" spans="1:8" ht="13.8" x14ac:dyDescent="0.25">
      <c r="A67" s="129" t="s">
        <v>30</v>
      </c>
      <c r="B67" s="135" t="s">
        <v>234</v>
      </c>
      <c r="C67" s="159" t="s">
        <v>246</v>
      </c>
      <c r="D67" s="160">
        <v>1.74</v>
      </c>
      <c r="E67" s="159" t="s">
        <v>236</v>
      </c>
      <c r="F67" s="161" t="s">
        <v>159</v>
      </c>
      <c r="G67" s="161" t="s">
        <v>125</v>
      </c>
      <c r="H67" s="159"/>
    </row>
    <row r="68" spans="1:8" ht="13.8" x14ac:dyDescent="0.25">
      <c r="A68" s="129" t="s">
        <v>272</v>
      </c>
      <c r="B68" s="135" t="s">
        <v>234</v>
      </c>
      <c r="C68" s="159" t="s">
        <v>247</v>
      </c>
      <c r="D68" s="160">
        <v>1.84</v>
      </c>
      <c r="E68" s="159" t="s">
        <v>236</v>
      </c>
      <c r="F68" s="161" t="s">
        <v>159</v>
      </c>
      <c r="G68" s="161" t="s">
        <v>125</v>
      </c>
      <c r="H68" s="159"/>
    </row>
    <row r="69" spans="1:8" ht="13.8" x14ac:dyDescent="0.25">
      <c r="A69" s="250" t="s">
        <v>25</v>
      </c>
      <c r="B69" s="251" t="s">
        <v>248</v>
      </c>
      <c r="C69" s="252" t="s">
        <v>249</v>
      </c>
      <c r="D69" s="253">
        <v>45</v>
      </c>
      <c r="E69" s="252" t="s">
        <v>236</v>
      </c>
      <c r="F69" s="252" t="s">
        <v>159</v>
      </c>
      <c r="G69" s="252" t="s">
        <v>125</v>
      </c>
      <c r="H69" s="252" t="s">
        <v>293</v>
      </c>
    </row>
    <row r="70" spans="1:8" ht="13.8" x14ac:dyDescent="0.25">
      <c r="A70" s="250" t="s">
        <v>30</v>
      </c>
      <c r="B70" s="251" t="s">
        <v>248</v>
      </c>
      <c r="C70" s="252" t="s">
        <v>250</v>
      </c>
      <c r="D70" s="253">
        <v>40</v>
      </c>
      <c r="E70" s="252" t="s">
        <v>236</v>
      </c>
      <c r="F70" s="252" t="s">
        <v>159</v>
      </c>
      <c r="G70" s="252" t="s">
        <v>125</v>
      </c>
      <c r="H70" s="252" t="s">
        <v>293</v>
      </c>
    </row>
    <row r="71" spans="1:8" ht="13.8" x14ac:dyDescent="0.25">
      <c r="A71" s="129" t="s">
        <v>31</v>
      </c>
      <c r="B71" s="130" t="s">
        <v>160</v>
      </c>
      <c r="C71" s="159" t="s">
        <v>251</v>
      </c>
      <c r="D71" s="162">
        <v>44.2</v>
      </c>
      <c r="E71" s="159" t="s">
        <v>165</v>
      </c>
      <c r="F71" s="159" t="s">
        <v>159</v>
      </c>
      <c r="G71" s="159" t="s">
        <v>125</v>
      </c>
      <c r="H71" s="159"/>
    </row>
    <row r="72" spans="1:8" ht="13.8" x14ac:dyDescent="0.25">
      <c r="A72" s="129" t="s">
        <v>31</v>
      </c>
      <c r="B72" s="130" t="s">
        <v>160</v>
      </c>
      <c r="C72" s="159" t="s">
        <v>252</v>
      </c>
      <c r="D72" s="162">
        <v>9.5</v>
      </c>
      <c r="E72" s="159" t="s">
        <v>162</v>
      </c>
      <c r="F72" s="159" t="s">
        <v>159</v>
      </c>
      <c r="G72" s="159" t="s">
        <v>125</v>
      </c>
      <c r="H72" s="159"/>
    </row>
    <row r="73" spans="1:8" ht="13.8" x14ac:dyDescent="0.25">
      <c r="A73" s="129" t="s">
        <v>31</v>
      </c>
      <c r="B73" s="130" t="s">
        <v>160</v>
      </c>
      <c r="C73" s="159" t="s">
        <v>253</v>
      </c>
      <c r="D73" s="162">
        <v>42.1</v>
      </c>
      <c r="E73" s="159" t="s">
        <v>162</v>
      </c>
      <c r="F73" s="159" t="s">
        <v>159</v>
      </c>
      <c r="G73" s="159" t="s">
        <v>125</v>
      </c>
      <c r="H73" s="159"/>
    </row>
    <row r="74" spans="1:8" ht="13.8" x14ac:dyDescent="0.25">
      <c r="A74" s="129" t="s">
        <v>31</v>
      </c>
      <c r="B74" s="130" t="s">
        <v>160</v>
      </c>
      <c r="C74" s="159" t="s">
        <v>254</v>
      </c>
      <c r="D74" s="162">
        <v>40</v>
      </c>
      <c r="E74" s="159" t="s">
        <v>162</v>
      </c>
      <c r="F74" s="159" t="s">
        <v>159</v>
      </c>
      <c r="G74" s="159" t="s">
        <v>125</v>
      </c>
      <c r="H74" s="159"/>
    </row>
    <row r="75" spans="1:8" ht="13.8" x14ac:dyDescent="0.25">
      <c r="A75" s="129" t="s">
        <v>31</v>
      </c>
      <c r="B75" s="130" t="s">
        <v>190</v>
      </c>
      <c r="C75" s="159" t="s">
        <v>255</v>
      </c>
      <c r="D75" s="162">
        <v>22</v>
      </c>
      <c r="E75" s="159" t="s">
        <v>192</v>
      </c>
      <c r="F75" s="159" t="s">
        <v>159</v>
      </c>
      <c r="G75" s="159" t="s">
        <v>125</v>
      </c>
      <c r="H75" s="159"/>
    </row>
    <row r="76" spans="1:8" ht="13.8" x14ac:dyDescent="0.25">
      <c r="A76" s="129" t="s">
        <v>31</v>
      </c>
      <c r="B76" s="130" t="s">
        <v>190</v>
      </c>
      <c r="C76" s="159" t="s">
        <v>256</v>
      </c>
      <c r="D76" s="162">
        <v>4.9000000000000004</v>
      </c>
      <c r="E76" s="159" t="s">
        <v>192</v>
      </c>
      <c r="F76" s="159" t="s">
        <v>159</v>
      </c>
      <c r="G76" s="159" t="s">
        <v>125</v>
      </c>
      <c r="H76" s="159"/>
    </row>
    <row r="77" spans="1:8" ht="13.8" x14ac:dyDescent="0.25">
      <c r="A77" s="129" t="s">
        <v>31</v>
      </c>
      <c r="B77" s="130" t="s">
        <v>156</v>
      </c>
      <c r="C77" s="159" t="s">
        <v>257</v>
      </c>
      <c r="D77" s="162">
        <v>1.35</v>
      </c>
      <c r="E77" s="139" t="s">
        <v>158</v>
      </c>
      <c r="F77" s="159" t="s">
        <v>159</v>
      </c>
      <c r="G77" s="159" t="s">
        <v>125</v>
      </c>
      <c r="H77" s="159"/>
    </row>
    <row r="78" spans="1:8" ht="13.8" x14ac:dyDescent="0.25">
      <c r="A78" s="129" t="s">
        <v>31</v>
      </c>
      <c r="B78" s="130" t="s">
        <v>156</v>
      </c>
      <c r="C78" s="159" t="s">
        <v>258</v>
      </c>
      <c r="D78" s="162">
        <v>16.010000000000002</v>
      </c>
      <c r="E78" s="139" t="s">
        <v>158</v>
      </c>
      <c r="F78" s="159" t="s">
        <v>159</v>
      </c>
      <c r="G78" s="159" t="s">
        <v>125</v>
      </c>
      <c r="H78" s="159"/>
    </row>
    <row r="79" spans="1:8" ht="13.8" x14ac:dyDescent="0.25">
      <c r="A79" s="129" t="s">
        <v>31</v>
      </c>
      <c r="B79" s="130" t="s">
        <v>156</v>
      </c>
      <c r="C79" s="159" t="s">
        <v>283</v>
      </c>
      <c r="D79" s="162">
        <v>31.6</v>
      </c>
      <c r="E79" s="163" t="s">
        <v>259</v>
      </c>
      <c r="F79" s="159" t="s">
        <v>159</v>
      </c>
      <c r="G79" s="159" t="s">
        <v>125</v>
      </c>
      <c r="H79" s="159"/>
    </row>
    <row r="80" spans="1:8" ht="13.8" x14ac:dyDescent="0.25">
      <c r="A80" s="307" t="s">
        <v>260</v>
      </c>
      <c r="B80" s="308"/>
      <c r="C80" s="303"/>
      <c r="D80" s="164">
        <f>SUM(D3:D79)</f>
        <v>1745.8455999999996</v>
      </c>
      <c r="E80" s="125" t="s">
        <v>261</v>
      </c>
      <c r="F80" s="125" t="s">
        <v>261</v>
      </c>
      <c r="G80" s="125" t="s">
        <v>261</v>
      </c>
      <c r="H80" s="125"/>
    </row>
    <row r="81" spans="2:2" ht="13.8" x14ac:dyDescent="0.25">
      <c r="B81" s="165"/>
    </row>
    <row r="82" spans="2:2" ht="13.8" x14ac:dyDescent="0.25">
      <c r="B82" s="165"/>
    </row>
    <row r="83" spans="2:2" ht="13.8" x14ac:dyDescent="0.25">
      <c r="B83" s="165"/>
    </row>
    <row r="84" spans="2:2" ht="13.8" x14ac:dyDescent="0.25">
      <c r="B84" s="165"/>
    </row>
    <row r="85" spans="2:2" ht="13.8" x14ac:dyDescent="0.25">
      <c r="B85" s="165"/>
    </row>
    <row r="86" spans="2:2" ht="13.8" x14ac:dyDescent="0.25">
      <c r="B86" s="165"/>
    </row>
    <row r="87" spans="2:2" ht="13.8" x14ac:dyDescent="0.25">
      <c r="B87" s="165"/>
    </row>
    <row r="88" spans="2:2" ht="13.8" x14ac:dyDescent="0.25">
      <c r="B88" s="165"/>
    </row>
    <row r="89" spans="2:2" ht="13.8" x14ac:dyDescent="0.25">
      <c r="B89" s="165"/>
    </row>
    <row r="90" spans="2:2" ht="13.8" x14ac:dyDescent="0.25">
      <c r="B90" s="165"/>
    </row>
    <row r="91" spans="2:2" ht="13.8" x14ac:dyDescent="0.25">
      <c r="B91" s="165"/>
    </row>
    <row r="92" spans="2:2" ht="13.8" x14ac:dyDescent="0.25">
      <c r="B92" s="165"/>
    </row>
    <row r="93" spans="2:2" ht="13.8" x14ac:dyDescent="0.25">
      <c r="B93" s="165"/>
    </row>
    <row r="94" spans="2:2" ht="13.8" x14ac:dyDescent="0.25">
      <c r="B94" s="165"/>
    </row>
    <row r="95" spans="2:2" ht="13.8" x14ac:dyDescent="0.25">
      <c r="B95" s="165"/>
    </row>
    <row r="96" spans="2:2" ht="13.8" x14ac:dyDescent="0.25">
      <c r="B96" s="165"/>
    </row>
    <row r="97" spans="2:2" ht="13.8" x14ac:dyDescent="0.25">
      <c r="B97" s="165"/>
    </row>
    <row r="98" spans="2:2" ht="13.8" x14ac:dyDescent="0.25">
      <c r="B98" s="165"/>
    </row>
    <row r="99" spans="2:2" ht="13.8" x14ac:dyDescent="0.25">
      <c r="B99" s="165"/>
    </row>
    <row r="100" spans="2:2" ht="13.8" x14ac:dyDescent="0.25">
      <c r="B100" s="165"/>
    </row>
    <row r="101" spans="2:2" ht="13.8" x14ac:dyDescent="0.25">
      <c r="B101" s="165"/>
    </row>
    <row r="102" spans="2:2" ht="13.8" x14ac:dyDescent="0.25">
      <c r="B102" s="165"/>
    </row>
    <row r="103" spans="2:2" ht="13.8" x14ac:dyDescent="0.25">
      <c r="B103" s="165"/>
    </row>
    <row r="104" spans="2:2" ht="13.8" x14ac:dyDescent="0.25">
      <c r="B104" s="165"/>
    </row>
    <row r="105" spans="2:2" ht="13.8" x14ac:dyDescent="0.25">
      <c r="B105" s="165"/>
    </row>
    <row r="106" spans="2:2" ht="13.8" x14ac:dyDescent="0.25">
      <c r="B106" s="165"/>
    </row>
    <row r="107" spans="2:2" ht="13.8" x14ac:dyDescent="0.25">
      <c r="B107" s="165"/>
    </row>
    <row r="108" spans="2:2" ht="13.8" x14ac:dyDescent="0.25">
      <c r="B108" s="165"/>
    </row>
    <row r="109" spans="2:2" ht="13.8" x14ac:dyDescent="0.25">
      <c r="B109" s="165"/>
    </row>
    <row r="110" spans="2:2" ht="13.8" x14ac:dyDescent="0.25">
      <c r="B110" s="165"/>
    </row>
    <row r="111" spans="2:2" ht="13.8" x14ac:dyDescent="0.25">
      <c r="B111" s="165"/>
    </row>
    <row r="112" spans="2:2" ht="13.8" x14ac:dyDescent="0.25">
      <c r="B112" s="165"/>
    </row>
    <row r="113" spans="2:2" ht="13.8" x14ac:dyDescent="0.25">
      <c r="B113" s="165"/>
    </row>
    <row r="114" spans="2:2" ht="13.8" x14ac:dyDescent="0.25">
      <c r="B114" s="165"/>
    </row>
    <row r="115" spans="2:2" ht="13.8" x14ac:dyDescent="0.25">
      <c r="B115" s="165"/>
    </row>
    <row r="116" spans="2:2" ht="13.8" x14ac:dyDescent="0.25">
      <c r="B116" s="165"/>
    </row>
    <row r="117" spans="2:2" ht="13.8" x14ac:dyDescent="0.25">
      <c r="B117" s="165"/>
    </row>
    <row r="118" spans="2:2" ht="13.8" x14ac:dyDescent="0.25">
      <c r="B118" s="165"/>
    </row>
    <row r="119" spans="2:2" ht="13.8" x14ac:dyDescent="0.25">
      <c r="B119" s="165"/>
    </row>
    <row r="120" spans="2:2" ht="13.8" x14ac:dyDescent="0.25">
      <c r="B120" s="165"/>
    </row>
    <row r="121" spans="2:2" ht="13.8" x14ac:dyDescent="0.25">
      <c r="B121" s="165"/>
    </row>
    <row r="122" spans="2:2" ht="13.8" x14ac:dyDescent="0.25">
      <c r="B122" s="165"/>
    </row>
    <row r="123" spans="2:2" ht="13.8" x14ac:dyDescent="0.25">
      <c r="B123" s="165"/>
    </row>
    <row r="124" spans="2:2" ht="13.8" x14ac:dyDescent="0.25">
      <c r="B124" s="165"/>
    </row>
    <row r="125" spans="2:2" ht="13.8" x14ac:dyDescent="0.25">
      <c r="B125" s="165"/>
    </row>
    <row r="126" spans="2:2" ht="13.8" x14ac:dyDescent="0.25">
      <c r="B126" s="165"/>
    </row>
    <row r="127" spans="2:2" ht="13.8" x14ac:dyDescent="0.25">
      <c r="B127" s="165"/>
    </row>
    <row r="128" spans="2:2" ht="13.8" x14ac:dyDescent="0.25">
      <c r="B128" s="165"/>
    </row>
    <row r="129" spans="2:2" ht="13.8" x14ac:dyDescent="0.25">
      <c r="B129" s="165"/>
    </row>
    <row r="130" spans="2:2" ht="13.8" x14ac:dyDescent="0.25">
      <c r="B130" s="165"/>
    </row>
    <row r="131" spans="2:2" ht="13.8" x14ac:dyDescent="0.25">
      <c r="B131" s="165"/>
    </row>
    <row r="132" spans="2:2" ht="13.8" x14ac:dyDescent="0.25">
      <c r="B132" s="165"/>
    </row>
    <row r="133" spans="2:2" ht="13.8" x14ac:dyDescent="0.25">
      <c r="B133" s="165"/>
    </row>
    <row r="134" spans="2:2" ht="13.8" x14ac:dyDescent="0.25">
      <c r="B134" s="165"/>
    </row>
    <row r="135" spans="2:2" ht="13.8" x14ac:dyDescent="0.25">
      <c r="B135" s="165"/>
    </row>
    <row r="136" spans="2:2" ht="13.8" x14ac:dyDescent="0.25">
      <c r="B136" s="165"/>
    </row>
    <row r="137" spans="2:2" ht="13.8" x14ac:dyDescent="0.25">
      <c r="B137" s="165"/>
    </row>
    <row r="138" spans="2:2" ht="13.8" x14ac:dyDescent="0.25">
      <c r="B138" s="165"/>
    </row>
    <row r="139" spans="2:2" ht="13.8" x14ac:dyDescent="0.25">
      <c r="B139" s="165"/>
    </row>
    <row r="140" spans="2:2" ht="13.8" x14ac:dyDescent="0.25">
      <c r="B140" s="165"/>
    </row>
    <row r="141" spans="2:2" ht="13.8" x14ac:dyDescent="0.25">
      <c r="B141" s="165"/>
    </row>
    <row r="142" spans="2:2" ht="13.8" x14ac:dyDescent="0.25">
      <c r="B142" s="165"/>
    </row>
    <row r="143" spans="2:2" ht="13.8" x14ac:dyDescent="0.25">
      <c r="B143" s="165"/>
    </row>
    <row r="144" spans="2:2" ht="13.8" x14ac:dyDescent="0.25">
      <c r="B144" s="165"/>
    </row>
    <row r="145" spans="2:2" ht="13.8" x14ac:dyDescent="0.25">
      <c r="B145" s="165"/>
    </row>
    <row r="146" spans="2:2" ht="13.8" x14ac:dyDescent="0.25">
      <c r="B146" s="165"/>
    </row>
    <row r="147" spans="2:2" ht="13.8" x14ac:dyDescent="0.25">
      <c r="B147" s="165"/>
    </row>
    <row r="148" spans="2:2" ht="13.8" x14ac:dyDescent="0.25">
      <c r="B148" s="165"/>
    </row>
    <row r="149" spans="2:2" ht="13.8" x14ac:dyDescent="0.25">
      <c r="B149" s="165"/>
    </row>
    <row r="150" spans="2:2" ht="13.8" x14ac:dyDescent="0.25">
      <c r="B150" s="165"/>
    </row>
    <row r="151" spans="2:2" ht="13.8" x14ac:dyDescent="0.25">
      <c r="B151" s="165"/>
    </row>
    <row r="152" spans="2:2" ht="13.8" x14ac:dyDescent="0.25">
      <c r="B152" s="165"/>
    </row>
    <row r="153" spans="2:2" ht="13.8" x14ac:dyDescent="0.25">
      <c r="B153" s="165"/>
    </row>
    <row r="154" spans="2:2" ht="13.8" x14ac:dyDescent="0.25">
      <c r="B154" s="165"/>
    </row>
    <row r="155" spans="2:2" ht="13.8" x14ac:dyDescent="0.25">
      <c r="B155" s="165"/>
    </row>
    <row r="156" spans="2:2" ht="13.8" x14ac:dyDescent="0.25">
      <c r="B156" s="165"/>
    </row>
    <row r="157" spans="2:2" ht="13.8" x14ac:dyDescent="0.25">
      <c r="B157" s="165"/>
    </row>
    <row r="158" spans="2:2" ht="13.8" x14ac:dyDescent="0.25">
      <c r="B158" s="165"/>
    </row>
    <row r="159" spans="2:2" ht="13.8" x14ac:dyDescent="0.25">
      <c r="B159" s="165"/>
    </row>
    <row r="160" spans="2:2" ht="13.8" x14ac:dyDescent="0.25">
      <c r="B160" s="165"/>
    </row>
    <row r="161" spans="2:2" ht="13.8" x14ac:dyDescent="0.25">
      <c r="B161" s="165"/>
    </row>
    <row r="162" spans="2:2" ht="13.8" x14ac:dyDescent="0.25">
      <c r="B162" s="165"/>
    </row>
    <row r="163" spans="2:2" ht="13.8" x14ac:dyDescent="0.25">
      <c r="B163" s="165"/>
    </row>
    <row r="164" spans="2:2" ht="13.8" x14ac:dyDescent="0.25">
      <c r="B164" s="165"/>
    </row>
    <row r="165" spans="2:2" ht="13.8" x14ac:dyDescent="0.25">
      <c r="B165" s="165"/>
    </row>
    <row r="166" spans="2:2" ht="13.8" x14ac:dyDescent="0.25">
      <c r="B166" s="165"/>
    </row>
    <row r="167" spans="2:2" ht="13.8" x14ac:dyDescent="0.25">
      <c r="B167" s="165"/>
    </row>
    <row r="168" spans="2:2" ht="13.8" x14ac:dyDescent="0.25">
      <c r="B168" s="165"/>
    </row>
    <row r="169" spans="2:2" ht="13.8" x14ac:dyDescent="0.25">
      <c r="B169" s="165"/>
    </row>
    <row r="170" spans="2:2" ht="13.8" x14ac:dyDescent="0.25">
      <c r="B170" s="165"/>
    </row>
    <row r="171" spans="2:2" ht="13.8" x14ac:dyDescent="0.25">
      <c r="B171" s="165"/>
    </row>
    <row r="172" spans="2:2" ht="13.8" x14ac:dyDescent="0.25">
      <c r="B172" s="165"/>
    </row>
    <row r="173" spans="2:2" ht="13.8" x14ac:dyDescent="0.25">
      <c r="B173" s="165"/>
    </row>
    <row r="174" spans="2:2" ht="13.8" x14ac:dyDescent="0.25">
      <c r="B174" s="165"/>
    </row>
    <row r="175" spans="2:2" ht="13.8" x14ac:dyDescent="0.25">
      <c r="B175" s="165"/>
    </row>
    <row r="176" spans="2:2" ht="13.8" x14ac:dyDescent="0.25">
      <c r="B176" s="165"/>
    </row>
    <row r="177" spans="2:2" ht="13.8" x14ac:dyDescent="0.25">
      <c r="B177" s="165"/>
    </row>
    <row r="178" spans="2:2" ht="13.8" x14ac:dyDescent="0.25">
      <c r="B178" s="165"/>
    </row>
    <row r="179" spans="2:2" ht="13.8" x14ac:dyDescent="0.25">
      <c r="B179" s="165"/>
    </row>
    <row r="180" spans="2:2" ht="13.8" x14ac:dyDescent="0.25">
      <c r="B180" s="165"/>
    </row>
    <row r="181" spans="2:2" ht="13.8" x14ac:dyDescent="0.25">
      <c r="B181" s="165"/>
    </row>
    <row r="182" spans="2:2" ht="13.8" x14ac:dyDescent="0.25">
      <c r="B182" s="165"/>
    </row>
    <row r="183" spans="2:2" ht="13.8" x14ac:dyDescent="0.25">
      <c r="B183" s="165"/>
    </row>
    <row r="184" spans="2:2" ht="13.8" x14ac:dyDescent="0.25">
      <c r="B184" s="165"/>
    </row>
    <row r="185" spans="2:2" ht="13.8" x14ac:dyDescent="0.25">
      <c r="B185" s="165"/>
    </row>
    <row r="186" spans="2:2" ht="13.8" x14ac:dyDescent="0.25">
      <c r="B186" s="165"/>
    </row>
    <row r="187" spans="2:2" ht="13.8" x14ac:dyDescent="0.25">
      <c r="B187" s="165"/>
    </row>
    <row r="188" spans="2:2" ht="13.8" x14ac:dyDescent="0.25">
      <c r="B188" s="165"/>
    </row>
    <row r="189" spans="2:2" ht="13.8" x14ac:dyDescent="0.25">
      <c r="B189" s="165"/>
    </row>
    <row r="190" spans="2:2" ht="13.8" x14ac:dyDescent="0.25">
      <c r="B190" s="165"/>
    </row>
    <row r="191" spans="2:2" ht="13.8" x14ac:dyDescent="0.25">
      <c r="B191" s="165"/>
    </row>
    <row r="192" spans="2:2" ht="13.8" x14ac:dyDescent="0.25">
      <c r="B192" s="165"/>
    </row>
    <row r="193" spans="2:2" ht="13.8" x14ac:dyDescent="0.25">
      <c r="B193" s="165"/>
    </row>
    <row r="194" spans="2:2" ht="13.8" x14ac:dyDescent="0.25">
      <c r="B194" s="165"/>
    </row>
    <row r="195" spans="2:2" ht="13.8" x14ac:dyDescent="0.25">
      <c r="B195" s="165"/>
    </row>
    <row r="196" spans="2:2" ht="13.8" x14ac:dyDescent="0.25">
      <c r="B196" s="165"/>
    </row>
    <row r="197" spans="2:2" ht="13.8" x14ac:dyDescent="0.25">
      <c r="B197" s="165"/>
    </row>
    <row r="198" spans="2:2" ht="13.8" x14ac:dyDescent="0.25">
      <c r="B198" s="165"/>
    </row>
    <row r="199" spans="2:2" ht="13.8" x14ac:dyDescent="0.25">
      <c r="B199" s="165"/>
    </row>
    <row r="200" spans="2:2" ht="13.8" x14ac:dyDescent="0.25">
      <c r="B200" s="165"/>
    </row>
    <row r="201" spans="2:2" ht="13.8" x14ac:dyDescent="0.25">
      <c r="B201" s="165"/>
    </row>
    <row r="202" spans="2:2" ht="13.8" x14ac:dyDescent="0.25">
      <c r="B202" s="165"/>
    </row>
    <row r="203" spans="2:2" ht="13.8" x14ac:dyDescent="0.25">
      <c r="B203" s="165"/>
    </row>
    <row r="204" spans="2:2" ht="13.8" x14ac:dyDescent="0.25">
      <c r="B204" s="165"/>
    </row>
    <row r="205" spans="2:2" ht="13.8" x14ac:dyDescent="0.25">
      <c r="B205" s="165"/>
    </row>
    <row r="206" spans="2:2" ht="13.8" x14ac:dyDescent="0.25">
      <c r="B206" s="165"/>
    </row>
    <row r="207" spans="2:2" ht="13.8" x14ac:dyDescent="0.25">
      <c r="B207" s="165"/>
    </row>
    <row r="208" spans="2:2" ht="13.8" x14ac:dyDescent="0.25">
      <c r="B208" s="165"/>
    </row>
    <row r="209" spans="2:2" ht="13.8" x14ac:dyDescent="0.25">
      <c r="B209" s="165"/>
    </row>
    <row r="210" spans="2:2" ht="13.8" x14ac:dyDescent="0.25">
      <c r="B210" s="165"/>
    </row>
    <row r="211" spans="2:2" ht="13.8" x14ac:dyDescent="0.25">
      <c r="B211" s="165"/>
    </row>
    <row r="212" spans="2:2" ht="13.8" x14ac:dyDescent="0.25">
      <c r="B212" s="165"/>
    </row>
    <row r="213" spans="2:2" ht="13.8" x14ac:dyDescent="0.25">
      <c r="B213" s="165"/>
    </row>
    <row r="214" spans="2:2" ht="13.8" x14ac:dyDescent="0.25">
      <c r="B214" s="165"/>
    </row>
    <row r="215" spans="2:2" ht="13.8" x14ac:dyDescent="0.25">
      <c r="B215" s="165"/>
    </row>
    <row r="216" spans="2:2" ht="13.8" x14ac:dyDescent="0.25">
      <c r="B216" s="165"/>
    </row>
    <row r="217" spans="2:2" ht="13.8" x14ac:dyDescent="0.25">
      <c r="B217" s="165"/>
    </row>
    <row r="218" spans="2:2" ht="13.8" x14ac:dyDescent="0.25">
      <c r="B218" s="165"/>
    </row>
    <row r="219" spans="2:2" ht="13.8" x14ac:dyDescent="0.25">
      <c r="B219" s="165"/>
    </row>
    <row r="220" spans="2:2" ht="13.8" x14ac:dyDescent="0.25">
      <c r="B220" s="165"/>
    </row>
    <row r="221" spans="2:2" ht="13.8" x14ac:dyDescent="0.25">
      <c r="B221" s="165"/>
    </row>
    <row r="222" spans="2:2" ht="13.8" x14ac:dyDescent="0.25">
      <c r="B222" s="165"/>
    </row>
    <row r="223" spans="2:2" ht="13.8" x14ac:dyDescent="0.25">
      <c r="B223" s="165"/>
    </row>
    <row r="224" spans="2:2" ht="13.8" x14ac:dyDescent="0.25">
      <c r="B224" s="165"/>
    </row>
    <row r="225" spans="2:2" ht="13.8" x14ac:dyDescent="0.25">
      <c r="B225" s="165"/>
    </row>
    <row r="226" spans="2:2" ht="13.8" x14ac:dyDescent="0.25">
      <c r="B226" s="165"/>
    </row>
    <row r="227" spans="2:2" ht="13.8" x14ac:dyDescent="0.25">
      <c r="B227" s="165"/>
    </row>
    <row r="228" spans="2:2" ht="13.8" x14ac:dyDescent="0.25">
      <c r="B228" s="165"/>
    </row>
    <row r="229" spans="2:2" ht="13.8" x14ac:dyDescent="0.25">
      <c r="B229" s="165"/>
    </row>
    <row r="230" spans="2:2" ht="13.8" x14ac:dyDescent="0.25">
      <c r="B230" s="165"/>
    </row>
    <row r="231" spans="2:2" ht="13.8" x14ac:dyDescent="0.25">
      <c r="B231" s="165"/>
    </row>
    <row r="232" spans="2:2" ht="13.8" x14ac:dyDescent="0.25">
      <c r="B232" s="165"/>
    </row>
    <row r="233" spans="2:2" ht="13.8" x14ac:dyDescent="0.25">
      <c r="B233" s="165"/>
    </row>
    <row r="235" spans="2:2" ht="13.8" x14ac:dyDescent="0.25"/>
  </sheetData>
  <autoFilter ref="A2:AA80" xr:uid="{440F411D-8673-4B7B-8735-94989F2C6A4A}"/>
  <mergeCells count="1">
    <mergeCell ref="A80:C80"/>
  </mergeCells>
  <phoneticPr fontId="27" type="noConversion"/>
  <dataValidations count="1">
    <dataValidation type="list" allowBlank="1" showInputMessage="1" showErrorMessage="1" sqref="B81:B1048576 B1:B80" xr:uid="{00000000-0002-0000-0400-000000000000}">
      <formula1>"款项类型,代理佣金,机构佣金,高评FX,首付贴息,其他,"</formula1>
    </dataValidation>
  </dataValidation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周会</vt:lpstr>
      <vt:lpstr>7月摸底</vt:lpstr>
      <vt:lpstr>01月度摸底</vt:lpstr>
      <vt:lpstr>7月</vt:lpstr>
      <vt:lpstr>02任务进度分析及追赶动作</vt:lpstr>
      <vt:lpstr>03需支持事项</vt:lpstr>
      <vt:lpstr>04-紧急付款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康孟云</cp:lastModifiedBy>
  <cp:lastPrinted>2024-07-22T01:24:41Z</cp:lastPrinted>
  <dcterms:created xsi:type="dcterms:W3CDTF">2024-07-22T00:53:56Z</dcterms:created>
  <dcterms:modified xsi:type="dcterms:W3CDTF">2024-07-24T09:09:22Z</dcterms:modified>
</cp:coreProperties>
</file>